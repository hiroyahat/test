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\\aquaaura\Amethyst\管理部\YYG\99_教育\2023_新人研修\課題\採用費管理ツール\"/>
    </mc:Choice>
  </mc:AlternateContent>
  <xr:revisionPtr revIDLastSave="0" documentId="13_ncr:1_{B0BB0C43-FBE6-490C-8C93-1972DCB7D9FA}" xr6:coauthVersionLast="47" xr6:coauthVersionMax="47" xr10:uidLastSave="{00000000-0000-0000-0000-000000000000}"/>
  <bookViews>
    <workbookView xWindow="-108" yWindow="-108" windowWidth="23256" windowHeight="12456" activeTab="2" xr2:uid="{7133578A-E191-4926-A739-4D8CB21A4674}"/>
  </bookViews>
  <sheets>
    <sheet name="採用費管理表" sheetId="6" r:id="rId1"/>
    <sheet name="72期活動費" sheetId="9" r:id="rId2"/>
    <sheet name="72期 元データ" sheetId="11" r:id="rId3"/>
    <sheet name="graph" sheetId="7" r:id="rId4"/>
    <sheet name="リスト※触らない※" sheetId="10" r:id="rId5"/>
  </sheets>
  <definedNames>
    <definedName name="_xlnm._FilterDatabase" localSheetId="2" hidden="1">'72期 元データ'!$A$8:$F$78</definedName>
    <definedName name="PT">リスト※触らない※!$B$18:$B$20</definedName>
    <definedName name="キャリア">リスト※触らない※!$B$13:$B$17</definedName>
    <definedName name="その他">リスト※触らない※!$B$26:$B$31</definedName>
    <definedName name="技能実習生">リスト※触らない※!$B$24:$B$25</definedName>
    <definedName name="区分">リスト※触らない※!$A$5:$A$10</definedName>
    <definedName name="新卒">リスト※触らない※!$B$5:$B$12</definedName>
    <definedName name="留学生">リスト※触らない※!$B$21:$B$23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6" l="1"/>
  <c r="O24" i="9" l="1"/>
  <c r="E69" i="9"/>
  <c r="E41" i="9"/>
  <c r="N16" i="9"/>
  <c r="N13" i="9"/>
  <c r="M13" i="9"/>
  <c r="L13" i="9"/>
  <c r="G16" i="9"/>
  <c r="G13" i="9"/>
  <c r="F16" i="9"/>
  <c r="F13" i="9"/>
  <c r="F10" i="9"/>
  <c r="E16" i="9"/>
  <c r="E13" i="9"/>
  <c r="E10" i="9"/>
  <c r="E19" i="9"/>
  <c r="D5" i="9"/>
  <c r="D4" i="9"/>
  <c r="C17" i="9"/>
  <c r="D70" i="9" s="1"/>
  <c r="C16" i="9"/>
  <c r="E70" i="9" s="1"/>
  <c r="C14" i="9"/>
  <c r="D69" i="9" s="1"/>
  <c r="C13" i="9"/>
  <c r="T14" i="9"/>
  <c r="N14" i="9"/>
  <c r="M14" i="9"/>
  <c r="L14" i="9"/>
  <c r="K14" i="9"/>
  <c r="J14" i="9"/>
  <c r="I14" i="9"/>
  <c r="H14" i="9"/>
  <c r="G14" i="9"/>
  <c r="F14" i="9"/>
  <c r="E14" i="9"/>
  <c r="D14" i="9"/>
  <c r="R13" i="9"/>
  <c r="T13" i="9" s="1"/>
  <c r="K13" i="9"/>
  <c r="J13" i="9"/>
  <c r="I13" i="9"/>
  <c r="H13" i="9"/>
  <c r="D13" i="9"/>
  <c r="O14" i="9" l="1"/>
  <c r="D38" i="9" s="1"/>
  <c r="O13" i="9"/>
  <c r="E38" i="9" s="1"/>
  <c r="T26" i="9" l="1"/>
  <c r="T17" i="9"/>
  <c r="N86" i="6"/>
  <c r="F86" i="6"/>
  <c r="J86" i="6"/>
  <c r="E87" i="6"/>
  <c r="F87" i="6"/>
  <c r="G87" i="6"/>
  <c r="H87" i="6"/>
  <c r="I87" i="6"/>
  <c r="J87" i="6"/>
  <c r="K87" i="6"/>
  <c r="L87" i="6"/>
  <c r="M87" i="6"/>
  <c r="N87" i="6"/>
  <c r="O87" i="6"/>
  <c r="D87" i="6"/>
  <c r="E86" i="6"/>
  <c r="G86" i="6"/>
  <c r="H86" i="6"/>
  <c r="I86" i="6"/>
  <c r="K86" i="6"/>
  <c r="L86" i="6"/>
  <c r="M86" i="6"/>
  <c r="O86" i="6"/>
  <c r="D86" i="6"/>
  <c r="E9" i="6"/>
  <c r="E84" i="6"/>
  <c r="F84" i="6"/>
  <c r="G84" i="6"/>
  <c r="H84" i="6"/>
  <c r="I84" i="6"/>
  <c r="J84" i="6"/>
  <c r="K84" i="6"/>
  <c r="L84" i="6"/>
  <c r="M84" i="6"/>
  <c r="N84" i="6"/>
  <c r="O84" i="6"/>
  <c r="D84" i="6"/>
  <c r="O81" i="6"/>
  <c r="N81" i="6"/>
  <c r="M81" i="6"/>
  <c r="L81" i="6"/>
  <c r="K81" i="6"/>
  <c r="J81" i="6"/>
  <c r="I81" i="6"/>
  <c r="H81" i="6"/>
  <c r="G81" i="6"/>
  <c r="F81" i="6"/>
  <c r="E81" i="6"/>
  <c r="D81" i="6"/>
  <c r="O78" i="6"/>
  <c r="N78" i="6"/>
  <c r="M78" i="6"/>
  <c r="L78" i="6"/>
  <c r="K78" i="6"/>
  <c r="J78" i="6"/>
  <c r="I78" i="6"/>
  <c r="H78" i="6"/>
  <c r="G78" i="6"/>
  <c r="F78" i="6"/>
  <c r="E78" i="6"/>
  <c r="D78" i="6"/>
  <c r="O75" i="6"/>
  <c r="N75" i="6"/>
  <c r="M75" i="6"/>
  <c r="L75" i="6"/>
  <c r="K75" i="6"/>
  <c r="J75" i="6"/>
  <c r="I75" i="6"/>
  <c r="H75" i="6"/>
  <c r="G75" i="6"/>
  <c r="F75" i="6"/>
  <c r="E75" i="6"/>
  <c r="D75" i="6"/>
  <c r="O72" i="6"/>
  <c r="N72" i="6"/>
  <c r="M72" i="6"/>
  <c r="L72" i="6"/>
  <c r="K72" i="6"/>
  <c r="J72" i="6"/>
  <c r="I72" i="6"/>
  <c r="H72" i="6"/>
  <c r="G72" i="6"/>
  <c r="F72" i="6"/>
  <c r="E72" i="6"/>
  <c r="D72" i="6"/>
  <c r="O69" i="6"/>
  <c r="N69" i="6"/>
  <c r="M69" i="6"/>
  <c r="L69" i="6"/>
  <c r="K69" i="6"/>
  <c r="J69" i="6"/>
  <c r="I69" i="6"/>
  <c r="H69" i="6"/>
  <c r="G69" i="6"/>
  <c r="F69" i="6"/>
  <c r="E69" i="6"/>
  <c r="D69" i="6"/>
  <c r="O66" i="6"/>
  <c r="N66" i="6"/>
  <c r="M66" i="6"/>
  <c r="L66" i="6"/>
  <c r="K66" i="6"/>
  <c r="J66" i="6"/>
  <c r="I66" i="6"/>
  <c r="H66" i="6"/>
  <c r="G66" i="6"/>
  <c r="F66" i="6"/>
  <c r="E66" i="6"/>
  <c r="D66" i="6"/>
  <c r="O63" i="6"/>
  <c r="N63" i="6"/>
  <c r="M63" i="6"/>
  <c r="L63" i="6"/>
  <c r="K63" i="6"/>
  <c r="J63" i="6"/>
  <c r="I63" i="6"/>
  <c r="H63" i="6"/>
  <c r="G63" i="6"/>
  <c r="F63" i="6"/>
  <c r="E63" i="6"/>
  <c r="D63" i="6"/>
  <c r="D60" i="6"/>
  <c r="O60" i="6"/>
  <c r="N60" i="6"/>
  <c r="M60" i="6"/>
  <c r="L60" i="6"/>
  <c r="K60" i="6"/>
  <c r="J60" i="6"/>
  <c r="I60" i="6"/>
  <c r="H60" i="6"/>
  <c r="G60" i="6"/>
  <c r="F60" i="6"/>
  <c r="E60" i="6"/>
  <c r="O57" i="6"/>
  <c r="N57" i="6"/>
  <c r="M57" i="6"/>
  <c r="L57" i="6"/>
  <c r="K57" i="6"/>
  <c r="J57" i="6"/>
  <c r="I57" i="6"/>
  <c r="H57" i="6"/>
  <c r="G57" i="6"/>
  <c r="F57" i="6"/>
  <c r="E57" i="6"/>
  <c r="D57" i="6"/>
  <c r="O54" i="6"/>
  <c r="N54" i="6"/>
  <c r="M54" i="6"/>
  <c r="L54" i="6"/>
  <c r="K54" i="6"/>
  <c r="J54" i="6"/>
  <c r="I54" i="6"/>
  <c r="H54" i="6"/>
  <c r="G54" i="6"/>
  <c r="F54" i="6"/>
  <c r="E54" i="6"/>
  <c r="D54" i="6"/>
  <c r="O51" i="6"/>
  <c r="N51" i="6"/>
  <c r="M51" i="6"/>
  <c r="L51" i="6"/>
  <c r="K51" i="6"/>
  <c r="J51" i="6"/>
  <c r="I51" i="6"/>
  <c r="H51" i="6"/>
  <c r="G51" i="6"/>
  <c r="F51" i="6"/>
  <c r="E51" i="6"/>
  <c r="D51" i="6"/>
  <c r="O48" i="6"/>
  <c r="N48" i="6"/>
  <c r="M48" i="6"/>
  <c r="L48" i="6"/>
  <c r="K48" i="6"/>
  <c r="J48" i="6"/>
  <c r="I48" i="6"/>
  <c r="H48" i="6"/>
  <c r="G48" i="6"/>
  <c r="F48" i="6"/>
  <c r="E48" i="6"/>
  <c r="D48" i="6"/>
  <c r="O45" i="6"/>
  <c r="N45" i="6"/>
  <c r="M45" i="6"/>
  <c r="L45" i="6"/>
  <c r="K45" i="6"/>
  <c r="J45" i="6"/>
  <c r="I45" i="6"/>
  <c r="H45" i="6"/>
  <c r="G45" i="6"/>
  <c r="F45" i="6"/>
  <c r="E45" i="6"/>
  <c r="D45" i="6"/>
  <c r="O42" i="6"/>
  <c r="N42" i="6"/>
  <c r="M42" i="6"/>
  <c r="L42" i="6"/>
  <c r="K42" i="6"/>
  <c r="J42" i="6"/>
  <c r="I42" i="6"/>
  <c r="H42" i="6"/>
  <c r="G42" i="6"/>
  <c r="F42" i="6"/>
  <c r="D42" i="6"/>
  <c r="E42" i="6"/>
  <c r="O39" i="6"/>
  <c r="N39" i="6"/>
  <c r="M39" i="6"/>
  <c r="L39" i="6"/>
  <c r="K39" i="6"/>
  <c r="J39" i="6"/>
  <c r="I39" i="6"/>
  <c r="H39" i="6"/>
  <c r="G39" i="6"/>
  <c r="F39" i="6"/>
  <c r="E39" i="6"/>
  <c r="D39" i="6"/>
  <c r="O36" i="6"/>
  <c r="N36" i="6"/>
  <c r="M36" i="6"/>
  <c r="L36" i="6"/>
  <c r="K36" i="6"/>
  <c r="J36" i="6"/>
  <c r="I36" i="6"/>
  <c r="H36" i="6"/>
  <c r="G36" i="6"/>
  <c r="F36" i="6"/>
  <c r="E36" i="6"/>
  <c r="D36" i="6"/>
  <c r="O33" i="6"/>
  <c r="N33" i="6"/>
  <c r="M33" i="6"/>
  <c r="L33" i="6"/>
  <c r="K33" i="6"/>
  <c r="J33" i="6"/>
  <c r="I33" i="6"/>
  <c r="H33" i="6"/>
  <c r="G33" i="6"/>
  <c r="F33" i="6"/>
  <c r="E33" i="6"/>
  <c r="D33" i="6"/>
  <c r="O30" i="6"/>
  <c r="N30" i="6"/>
  <c r="M30" i="6"/>
  <c r="L30" i="6"/>
  <c r="K30" i="6"/>
  <c r="J30" i="6"/>
  <c r="I30" i="6"/>
  <c r="H30" i="6"/>
  <c r="G30" i="6"/>
  <c r="F30" i="6"/>
  <c r="E30" i="6"/>
  <c r="D30" i="6"/>
  <c r="O27" i="6"/>
  <c r="N27" i="6"/>
  <c r="M27" i="6"/>
  <c r="L27" i="6"/>
  <c r="K27" i="6"/>
  <c r="J27" i="6"/>
  <c r="I27" i="6"/>
  <c r="H27" i="6"/>
  <c r="G27" i="6"/>
  <c r="F27" i="6"/>
  <c r="E27" i="6"/>
  <c r="D27" i="6"/>
  <c r="E6" i="6"/>
  <c r="E3" i="6"/>
  <c r="D24" i="6"/>
  <c r="D21" i="6"/>
  <c r="D18" i="6"/>
  <c r="D15" i="6"/>
  <c r="D9" i="6"/>
  <c r="D6" i="6"/>
  <c r="O24" i="6"/>
  <c r="N24" i="6"/>
  <c r="M24" i="6"/>
  <c r="L24" i="6"/>
  <c r="K24" i="6"/>
  <c r="J24" i="6"/>
  <c r="I24" i="6"/>
  <c r="H24" i="6"/>
  <c r="G24" i="6"/>
  <c r="F24" i="6"/>
  <c r="E24" i="6"/>
  <c r="O21" i="6"/>
  <c r="N21" i="6"/>
  <c r="M21" i="6"/>
  <c r="L21" i="6"/>
  <c r="K21" i="6"/>
  <c r="J21" i="6"/>
  <c r="I21" i="6"/>
  <c r="H21" i="6"/>
  <c r="G21" i="6"/>
  <c r="F21" i="6"/>
  <c r="E21" i="6"/>
  <c r="O18" i="6"/>
  <c r="N18" i="6"/>
  <c r="M18" i="6"/>
  <c r="L18" i="6"/>
  <c r="K18" i="6"/>
  <c r="J18" i="6"/>
  <c r="I18" i="6"/>
  <c r="H18" i="6"/>
  <c r="G18" i="6"/>
  <c r="F18" i="6"/>
  <c r="E18" i="6"/>
  <c r="O15" i="6"/>
  <c r="N15" i="6"/>
  <c r="M15" i="6"/>
  <c r="L15" i="6"/>
  <c r="K15" i="6"/>
  <c r="J15" i="6"/>
  <c r="I15" i="6"/>
  <c r="H15" i="6"/>
  <c r="G15" i="6"/>
  <c r="F15" i="6"/>
  <c r="E15" i="6"/>
  <c r="O12" i="6"/>
  <c r="N12" i="6"/>
  <c r="M12" i="6"/>
  <c r="L12" i="6"/>
  <c r="K12" i="6"/>
  <c r="J12" i="6"/>
  <c r="I12" i="6"/>
  <c r="H12" i="6"/>
  <c r="G12" i="6"/>
  <c r="F12" i="6"/>
  <c r="E12" i="6"/>
  <c r="O9" i="6"/>
  <c r="N9" i="6"/>
  <c r="M9" i="6"/>
  <c r="L9" i="6"/>
  <c r="K9" i="6"/>
  <c r="J9" i="6"/>
  <c r="I9" i="6"/>
  <c r="H9" i="6"/>
  <c r="G9" i="6"/>
  <c r="F9" i="6"/>
  <c r="O6" i="6"/>
  <c r="N6" i="6"/>
  <c r="M6" i="6"/>
  <c r="L6" i="6"/>
  <c r="K6" i="6"/>
  <c r="J6" i="6"/>
  <c r="I6" i="6"/>
  <c r="H6" i="6"/>
  <c r="G6" i="6"/>
  <c r="F6" i="6"/>
  <c r="O3" i="6"/>
  <c r="N3" i="6"/>
  <c r="M3" i="6"/>
  <c r="L3" i="6"/>
  <c r="K3" i="6"/>
  <c r="J3" i="6"/>
  <c r="I3" i="6"/>
  <c r="H3" i="6"/>
  <c r="G3" i="6"/>
  <c r="F3" i="6"/>
  <c r="D3" i="6"/>
  <c r="C18" i="9" l="1"/>
  <c r="F71" i="9" s="1"/>
  <c r="E12" i="9"/>
  <c r="M12" i="9"/>
  <c r="D18" i="9"/>
  <c r="D6" i="9"/>
  <c r="D12" i="9"/>
  <c r="C6" i="9"/>
  <c r="F67" i="9" s="1"/>
  <c r="L12" i="9"/>
  <c r="N12" i="9"/>
  <c r="C12" i="9"/>
  <c r="F69" i="9" s="1"/>
  <c r="E18" i="9"/>
  <c r="H12" i="9"/>
  <c r="G12" i="9"/>
  <c r="J12" i="9"/>
  <c r="I12" i="9"/>
  <c r="F12" i="9"/>
  <c r="H15" i="9"/>
  <c r="D15" i="9"/>
  <c r="K15" i="9"/>
  <c r="G85" i="6"/>
  <c r="G88" i="6" s="1"/>
  <c r="G15" i="9"/>
  <c r="L15" i="9"/>
  <c r="C15" i="9"/>
  <c r="F70" i="9" s="1"/>
  <c r="G70" i="9" s="1"/>
  <c r="H85" i="6"/>
  <c r="H88" i="6" s="1"/>
  <c r="K12" i="9"/>
  <c r="C3" i="9"/>
  <c r="F66" i="9" s="1"/>
  <c r="C9" i="9"/>
  <c r="F68" i="9" s="1"/>
  <c r="E15" i="9"/>
  <c r="I15" i="9"/>
  <c r="M15" i="9"/>
  <c r="E3" i="9"/>
  <c r="E85" i="6"/>
  <c r="E88" i="6" s="1"/>
  <c r="D3" i="9"/>
  <c r="F15" i="9"/>
  <c r="J15" i="9"/>
  <c r="N15" i="9"/>
  <c r="I85" i="6"/>
  <c r="I88" i="6" s="1"/>
  <c r="K85" i="6"/>
  <c r="K88" i="6" s="1"/>
  <c r="M85" i="6"/>
  <c r="M88" i="6" s="1"/>
  <c r="J85" i="6"/>
  <c r="J88" i="6" s="1"/>
  <c r="L85" i="6"/>
  <c r="L88" i="6" s="1"/>
  <c r="N85" i="6"/>
  <c r="N88" i="6" s="1"/>
  <c r="O85" i="6"/>
  <c r="O88" i="6" s="1"/>
  <c r="D85" i="6"/>
  <c r="D88" i="6" s="1"/>
  <c r="F85" i="6"/>
  <c r="F88" i="6" s="1"/>
  <c r="P66" i="6"/>
  <c r="R25" i="9"/>
  <c r="T25" i="9" s="1"/>
  <c r="T22" i="9"/>
  <c r="T19" i="9"/>
  <c r="R16" i="9"/>
  <c r="T16" i="9" s="1"/>
  <c r="T10" i="9"/>
  <c r="T5" i="9"/>
  <c r="T4" i="9"/>
  <c r="T3" i="9"/>
  <c r="P5" i="6"/>
  <c r="P4" i="6"/>
  <c r="O12" i="9" l="1"/>
  <c r="F38" i="9" s="1"/>
  <c r="C21" i="9"/>
  <c r="C25" i="9" s="1"/>
  <c r="P63" i="6"/>
  <c r="P57" i="6"/>
  <c r="P54" i="6"/>
  <c r="P7" i="6"/>
  <c r="P8" i="6"/>
  <c r="P9" i="6"/>
  <c r="P10" i="6"/>
  <c r="P11" i="6"/>
  <c r="P87" i="6" s="1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R7" i="9" s="1"/>
  <c r="T7" i="9" s="1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60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6" i="6"/>
  <c r="P3" i="6"/>
  <c r="F18" i="9"/>
  <c r="G18" i="9"/>
  <c r="H18" i="9"/>
  <c r="I18" i="9"/>
  <c r="J18" i="9"/>
  <c r="K18" i="9"/>
  <c r="L18" i="9"/>
  <c r="M18" i="9"/>
  <c r="N18" i="9"/>
  <c r="D9" i="9"/>
  <c r="D21" i="9" s="1"/>
  <c r="E9" i="9"/>
  <c r="F9" i="9"/>
  <c r="G9" i="9"/>
  <c r="H9" i="9"/>
  <c r="I9" i="9"/>
  <c r="J9" i="9"/>
  <c r="K9" i="9"/>
  <c r="L9" i="9"/>
  <c r="M9" i="9"/>
  <c r="N9" i="9"/>
  <c r="E6" i="9"/>
  <c r="F6" i="9"/>
  <c r="G6" i="9"/>
  <c r="H6" i="9"/>
  <c r="I6" i="9"/>
  <c r="J6" i="9"/>
  <c r="K6" i="9"/>
  <c r="L6" i="9"/>
  <c r="M6" i="9"/>
  <c r="N6" i="9"/>
  <c r="F3" i="9"/>
  <c r="G3" i="9"/>
  <c r="H3" i="9"/>
  <c r="I3" i="9"/>
  <c r="J3" i="9"/>
  <c r="K3" i="9"/>
  <c r="L3" i="9"/>
  <c r="M3" i="9"/>
  <c r="N3" i="9"/>
  <c r="C4" i="9"/>
  <c r="E66" i="9" s="1"/>
  <c r="E4" i="9"/>
  <c r="F4" i="9"/>
  <c r="G4" i="9"/>
  <c r="H4" i="9"/>
  <c r="I4" i="9"/>
  <c r="J4" i="9"/>
  <c r="K4" i="9"/>
  <c r="L4" i="9"/>
  <c r="M4" i="9"/>
  <c r="N4" i="9"/>
  <c r="C5" i="9"/>
  <c r="D66" i="9" s="1"/>
  <c r="E5" i="9"/>
  <c r="F5" i="9"/>
  <c r="G5" i="9"/>
  <c r="H5" i="9"/>
  <c r="I5" i="9"/>
  <c r="J5" i="9"/>
  <c r="K5" i="9"/>
  <c r="L5" i="9"/>
  <c r="M5" i="9"/>
  <c r="N5" i="9"/>
  <c r="C7" i="9"/>
  <c r="E67" i="9" s="1"/>
  <c r="C19" i="9"/>
  <c r="E71" i="9" s="1"/>
  <c r="R6" i="9" l="1"/>
  <c r="T6" i="9" s="1"/>
  <c r="K21" i="9"/>
  <c r="G21" i="9"/>
  <c r="N21" i="9"/>
  <c r="J21" i="9"/>
  <c r="F21" i="9"/>
  <c r="M21" i="9"/>
  <c r="I21" i="9"/>
  <c r="L21" i="9"/>
  <c r="H21" i="9"/>
  <c r="E21" i="9"/>
  <c r="P85" i="6"/>
  <c r="P88" i="6" s="1"/>
  <c r="P86" i="6"/>
  <c r="O5" i="9"/>
  <c r="D35" i="9" s="1"/>
  <c r="O9" i="9"/>
  <c r="F37" i="9" s="1"/>
  <c r="O15" i="9"/>
  <c r="F39" i="9" s="1"/>
  <c r="O18" i="9"/>
  <c r="F40" i="9" s="1"/>
  <c r="O6" i="9"/>
  <c r="F36" i="9" s="1"/>
  <c r="O4" i="9"/>
  <c r="E35" i="9" s="1"/>
  <c r="O3" i="9"/>
  <c r="F35" i="9" s="1"/>
  <c r="G35" i="9" s="1"/>
  <c r="O21" i="9" l="1"/>
  <c r="F41" i="9" s="1"/>
  <c r="G17" i="9"/>
  <c r="N17" i="9" l="1"/>
  <c r="M17" i="9"/>
  <c r="M16" i="9"/>
  <c r="L17" i="9"/>
  <c r="L16" i="9"/>
  <c r="K17" i="9"/>
  <c r="K16" i="9"/>
  <c r="J17" i="9"/>
  <c r="J16" i="9"/>
  <c r="I17" i="9"/>
  <c r="I16" i="9"/>
  <c r="H17" i="9"/>
  <c r="H16" i="9"/>
  <c r="F17" i="9"/>
  <c r="E17" i="9"/>
  <c r="D16" i="9"/>
  <c r="D17" i="9"/>
  <c r="O16" i="9" l="1"/>
  <c r="E39" i="9" s="1"/>
  <c r="G39" i="9" s="1"/>
  <c r="O17" i="9"/>
  <c r="D39" i="9" s="1"/>
  <c r="N11" i="9"/>
  <c r="M11" i="9"/>
  <c r="L11" i="9"/>
  <c r="K11" i="9"/>
  <c r="J11" i="9"/>
  <c r="M10" i="9"/>
  <c r="L10" i="9"/>
  <c r="K10" i="9"/>
  <c r="J10" i="9"/>
  <c r="I10" i="9"/>
  <c r="H10" i="9"/>
  <c r="G10" i="9"/>
  <c r="D10" i="9"/>
  <c r="C10" i="9"/>
  <c r="N7" i="9"/>
  <c r="C22" i="9" l="1"/>
  <c r="E68" i="9"/>
  <c r="E72" i="9" s="1"/>
  <c r="D12" i="7"/>
  <c r="D13" i="7"/>
  <c r="G38" i="9"/>
  <c r="D14" i="7"/>
  <c r="G68" i="9" l="1"/>
  <c r="M8" i="9"/>
  <c r="L8" i="9"/>
  <c r="K8" i="9"/>
  <c r="J8" i="9"/>
  <c r="I8" i="9"/>
  <c r="H8" i="9"/>
  <c r="G8" i="9"/>
  <c r="F8" i="9"/>
  <c r="E8" i="9"/>
  <c r="D8" i="9"/>
  <c r="C8" i="9"/>
  <c r="D67" i="9" s="1"/>
  <c r="M7" i="9"/>
  <c r="L7" i="9"/>
  <c r="K7" i="9"/>
  <c r="H7" i="9"/>
  <c r="G7" i="9"/>
  <c r="F7" i="9"/>
  <c r="D7" i="9"/>
  <c r="G67" i="9" l="1"/>
  <c r="N8" i="9"/>
  <c r="O8" i="9" s="1"/>
  <c r="E7" i="9"/>
  <c r="E22" i="9" s="1"/>
  <c r="I7" i="9"/>
  <c r="J7" i="9"/>
  <c r="N10" i="9"/>
  <c r="N20" i="9"/>
  <c r="D36" i="9" l="1"/>
  <c r="T8" i="9"/>
  <c r="R8" i="9"/>
  <c r="O10" i="9"/>
  <c r="E37" i="9" s="1"/>
  <c r="O7" i="9"/>
  <c r="E36" i="9" s="1"/>
  <c r="G66" i="9"/>
  <c r="N23" i="9"/>
  <c r="D19" i="9"/>
  <c r="D22" i="9" s="1"/>
  <c r="F19" i="9"/>
  <c r="F22" i="9" s="1"/>
  <c r="G19" i="9"/>
  <c r="G22" i="9" s="1"/>
  <c r="H19" i="9"/>
  <c r="H22" i="9" s="1"/>
  <c r="I19" i="9"/>
  <c r="I22" i="9" s="1"/>
  <c r="J19" i="9"/>
  <c r="J22" i="9" s="1"/>
  <c r="K19" i="9"/>
  <c r="K22" i="9" s="1"/>
  <c r="L19" i="9"/>
  <c r="L22" i="9" s="1"/>
  <c r="M19" i="9"/>
  <c r="M22" i="9" s="1"/>
  <c r="N19" i="9"/>
  <c r="N22" i="9" s="1"/>
  <c r="O19" i="9" l="1"/>
  <c r="E40" i="9" s="1"/>
  <c r="D20" i="9"/>
  <c r="E20" i="9"/>
  <c r="F20" i="9"/>
  <c r="G20" i="9"/>
  <c r="H20" i="9"/>
  <c r="I20" i="9"/>
  <c r="J20" i="9"/>
  <c r="J23" i="9" s="1"/>
  <c r="K20" i="9"/>
  <c r="L20" i="9"/>
  <c r="L23" i="9" s="1"/>
  <c r="M20" i="9"/>
  <c r="M23" i="9" s="1"/>
  <c r="C20" i="9"/>
  <c r="D71" i="9" s="1"/>
  <c r="D11" i="9"/>
  <c r="E11" i="9"/>
  <c r="F11" i="9"/>
  <c r="G11" i="9"/>
  <c r="H11" i="9"/>
  <c r="I11" i="9"/>
  <c r="C11" i="9"/>
  <c r="D68" i="9" s="1"/>
  <c r="D72" i="9" l="1"/>
  <c r="O11" i="9"/>
  <c r="F72" i="9"/>
  <c r="G23" i="9"/>
  <c r="H23" i="9"/>
  <c r="D23" i="9"/>
  <c r="K23" i="9"/>
  <c r="C23" i="9"/>
  <c r="F23" i="9"/>
  <c r="I23" i="9"/>
  <c r="E23" i="9"/>
  <c r="G36" i="9"/>
  <c r="O20" i="9"/>
  <c r="G40" i="9" l="1"/>
  <c r="D40" i="9"/>
  <c r="G37" i="9"/>
  <c r="D37" i="9"/>
  <c r="G72" i="9"/>
  <c r="G71" i="9"/>
  <c r="O23" i="9"/>
  <c r="G41" i="9" l="1"/>
  <c r="D41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小暮未来</author>
  </authors>
  <commentList>
    <comment ref="S14" authorId="0" shapeId="0" xr:uid="{E8DD13DF-406D-4DB4-93F5-3E34FD638CD1}">
      <text>
        <r>
          <rPr>
            <b/>
            <sz val="9"/>
            <color indexed="81"/>
            <rFont val="MS P ゴシック"/>
            <family val="3"/>
            <charset val="128"/>
          </rPr>
          <t>2021/4/1～2022/3/31入社日のアルバイト</t>
        </r>
      </text>
    </comment>
    <comment ref="S17" authorId="0" shapeId="0" xr:uid="{5F7B2496-C599-43BC-8B07-455021C17BB6}">
      <text>
        <r>
          <rPr>
            <b/>
            <sz val="9"/>
            <color indexed="81"/>
            <rFont val="MS P ゴシック"/>
            <family val="3"/>
            <charset val="128"/>
          </rPr>
          <t>2021/4/1～2022/3/31入社日のアルバイト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5FDFFF-1AE2-4902-ADAB-EFB804AABC46}" keepAlive="1" name="クエリ - 仕訳伝票リスト (採用チーム確認)" description="ブック内の '仕訳伝票リスト (採用チーム確認)' クエリへの接続です。" type="5" refreshedVersion="0" background="1" saveData="1">
    <dbPr connection="Provider=Microsoft.Mashup.OleDb.1;Data Source=$Workbook$;Location=&quot;仕訳伝票リスト (採用チーム確認)&quot;;Extended Properties=&quot;&quot;" command="SELECT * FROM [仕訳伝票リスト (採用チーム確認)]"/>
  </connection>
</connections>
</file>

<file path=xl/sharedStrings.xml><?xml version="1.0" encoding="utf-8"?>
<sst xmlns="http://schemas.openxmlformats.org/spreadsheetml/2006/main" count="305" uniqueCount="115">
  <si>
    <t>10月</t>
  </si>
  <si>
    <t>11月</t>
  </si>
  <si>
    <t>12月</t>
  </si>
  <si>
    <t>1月</t>
  </si>
  <si>
    <t>2月</t>
  </si>
  <si>
    <t>3月</t>
  </si>
  <si>
    <t>6月</t>
  </si>
  <si>
    <t>7月</t>
  </si>
  <si>
    <t>8月</t>
  </si>
  <si>
    <t>内容</t>
    <rPh sb="0" eb="2">
      <t>ナイヨウ</t>
    </rPh>
    <phoneticPr fontId="1"/>
  </si>
  <si>
    <t>（千円）</t>
    <rPh sb="1" eb="3">
      <t>センエン</t>
    </rPh>
    <phoneticPr fontId="1"/>
  </si>
  <si>
    <t>採用活動費（従業員募集費）管理/実績表</t>
    <rPh sb="0" eb="2">
      <t>サイヨウ</t>
    </rPh>
    <rPh sb="2" eb="4">
      <t>カツドウ</t>
    </rPh>
    <rPh sb="4" eb="5">
      <t>ヒ</t>
    </rPh>
    <rPh sb="6" eb="9">
      <t>ジュウギョウイン</t>
    </rPh>
    <rPh sb="9" eb="11">
      <t>ボシュウ</t>
    </rPh>
    <rPh sb="11" eb="12">
      <t>ヒ</t>
    </rPh>
    <rPh sb="13" eb="15">
      <t>カンリ</t>
    </rPh>
    <rPh sb="16" eb="18">
      <t>ジッセキ</t>
    </rPh>
    <rPh sb="18" eb="19">
      <t>ヒョウ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</si>
  <si>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</si>
  <si>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</si>
  <si>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9月</t>
  </si>
  <si>
    <t>69期実績計</t>
    <rPh sb="2" eb="3">
      <t>キ</t>
    </rPh>
    <rPh sb="3" eb="5">
      <t>ジッセキ</t>
    </rPh>
    <rPh sb="5" eb="6">
      <t>ケイ</t>
    </rPh>
    <phoneticPr fontId="1"/>
  </si>
  <si>
    <t>70期実績</t>
    <rPh sb="2" eb="3">
      <t>キ</t>
    </rPh>
    <rPh sb="3" eb="5">
      <t>ジッセキ</t>
    </rPh>
    <phoneticPr fontId="1"/>
  </si>
  <si>
    <t>適性検査（SPI）</t>
    <phoneticPr fontId="1"/>
  </si>
  <si>
    <t>70期実績計</t>
    <rPh sb="2" eb="3">
      <t>キ</t>
    </rPh>
    <rPh sb="3" eb="5">
      <t>ジッセキ</t>
    </rPh>
    <rPh sb="5" eb="6">
      <t>ケイ</t>
    </rPh>
    <phoneticPr fontId="1"/>
  </si>
  <si>
    <t>合計</t>
    <rPh sb="0" eb="2">
      <t>ゴウケイケイ</t>
    </rPh>
    <phoneticPr fontId="1"/>
  </si>
  <si>
    <t>出張旅費</t>
    <rPh sb="0" eb="4">
      <t>シュッチョウリョヒ</t>
    </rPh>
    <phoneticPr fontId="1"/>
  </si>
  <si>
    <t>その他</t>
    <rPh sb="2" eb="3">
      <t>ホカ</t>
    </rPh>
    <phoneticPr fontId="1"/>
  </si>
  <si>
    <t>会場費</t>
    <rPh sb="0" eb="3">
      <t>カイジョウヒ</t>
    </rPh>
    <phoneticPr fontId="1"/>
  </si>
  <si>
    <t>広報</t>
    <rPh sb="0" eb="2">
      <t>コウホウ</t>
    </rPh>
    <phoneticPr fontId="1"/>
  </si>
  <si>
    <t>年間費</t>
    <rPh sb="0" eb="2">
      <t>ネンカン</t>
    </rPh>
    <rPh sb="2" eb="3">
      <t>ヒ</t>
    </rPh>
    <phoneticPr fontId="1"/>
  </si>
  <si>
    <t>新卒採用費</t>
    <rPh sb="0" eb="2">
      <t>シンソツ</t>
    </rPh>
    <rPh sb="2" eb="5">
      <t>サイヨウヒ</t>
    </rPh>
    <phoneticPr fontId="1"/>
  </si>
  <si>
    <t>キャリア採用費</t>
    <rPh sb="4" eb="7">
      <t>サイヨウヒ</t>
    </rPh>
    <phoneticPr fontId="1"/>
  </si>
  <si>
    <t>PT採用費</t>
    <rPh sb="2" eb="4">
      <t>サイヨウ</t>
    </rPh>
    <rPh sb="4" eb="5">
      <t>ヒ</t>
    </rPh>
    <phoneticPr fontId="1"/>
  </si>
  <si>
    <t>その他</t>
    <rPh sb="2" eb="3">
      <t>タ</t>
    </rPh>
    <phoneticPr fontId="1"/>
  </si>
  <si>
    <t>花代</t>
    <phoneticPr fontId="1"/>
  </si>
  <si>
    <t>内定者フォロー</t>
    <rPh sb="0" eb="3">
      <t>ナイテイシャ</t>
    </rPh>
    <phoneticPr fontId="1"/>
  </si>
  <si>
    <t>71期実績</t>
    <rPh sb="2" eb="3">
      <t>キ</t>
    </rPh>
    <rPh sb="3" eb="5">
      <t>ジッセキ</t>
    </rPh>
    <phoneticPr fontId="1"/>
  </si>
  <si>
    <t>71期実績計</t>
    <rPh sb="2" eb="3">
      <t>キ</t>
    </rPh>
    <rPh sb="3" eb="5">
      <t>ジッセキ</t>
    </rPh>
    <rPh sb="5" eb="6">
      <t>ケイ</t>
    </rPh>
    <phoneticPr fontId="1"/>
  </si>
  <si>
    <t>対前</t>
    <rPh sb="0" eb="1">
      <t>タイ</t>
    </rPh>
    <rPh sb="1" eb="2">
      <t>ゼン</t>
    </rPh>
    <phoneticPr fontId="1"/>
  </si>
  <si>
    <t>合計</t>
    <rPh sb="0" eb="2">
      <t>ゴウケイ</t>
    </rPh>
    <phoneticPr fontId="1"/>
  </si>
  <si>
    <t>↓選択</t>
    <rPh sb="1" eb="3">
      <t>センタク</t>
    </rPh>
    <phoneticPr fontId="1"/>
  </si>
  <si>
    <t>単月</t>
    <rPh sb="0" eb="1">
      <t>タン</t>
    </rPh>
    <rPh sb="1" eb="2">
      <t>ゲツ</t>
    </rPh>
    <phoneticPr fontId="1"/>
  </si>
  <si>
    <t>23新卒</t>
    <rPh sb="2" eb="4">
      <t>シンソツ</t>
    </rPh>
    <phoneticPr fontId="1"/>
  </si>
  <si>
    <t>24新卒</t>
    <rPh sb="2" eb="4">
      <t>シンソツ</t>
    </rPh>
    <phoneticPr fontId="1"/>
  </si>
  <si>
    <t>単価</t>
    <rPh sb="0" eb="2">
      <t>タンカ</t>
    </rPh>
    <phoneticPr fontId="1"/>
  </si>
  <si>
    <t>72期実績計</t>
    <rPh sb="2" eb="3">
      <t>キ</t>
    </rPh>
    <rPh sb="3" eb="5">
      <t>ジッセキ</t>
    </rPh>
    <rPh sb="5" eb="6">
      <t>ケイ</t>
    </rPh>
    <phoneticPr fontId="1"/>
  </si>
  <si>
    <t>72期実績</t>
    <rPh sb="2" eb="3">
      <t>キ</t>
    </rPh>
    <rPh sb="3" eb="5">
      <t>ジッセキ</t>
    </rPh>
    <phoneticPr fontId="1"/>
  </si>
  <si>
    <t>大分類</t>
    <rPh sb="0" eb="3">
      <t>ダイブンルイ</t>
    </rPh>
    <phoneticPr fontId="1"/>
  </si>
  <si>
    <t>新卒</t>
    <rPh sb="0" eb="2">
      <t>シンソツ</t>
    </rPh>
    <phoneticPr fontId="1"/>
  </si>
  <si>
    <t>キャリア</t>
    <phoneticPr fontId="1"/>
  </si>
  <si>
    <t>PT</t>
  </si>
  <si>
    <t>PT</t>
    <phoneticPr fontId="1"/>
  </si>
  <si>
    <t>留学生</t>
    <rPh sb="0" eb="3">
      <t>リュウガクセイ</t>
    </rPh>
    <phoneticPr fontId="1"/>
  </si>
  <si>
    <t>技能実習生</t>
    <rPh sb="0" eb="5">
      <t>ギノウジッシュウセイ</t>
    </rPh>
    <phoneticPr fontId="1"/>
  </si>
  <si>
    <t>選考交通費</t>
    <rPh sb="0" eb="5">
      <t>センコウコウツウヒ</t>
    </rPh>
    <phoneticPr fontId="1"/>
  </si>
  <si>
    <t>支度金</t>
    <rPh sb="0" eb="3">
      <t>シタクキン</t>
    </rPh>
    <phoneticPr fontId="1"/>
  </si>
  <si>
    <t>初期費用</t>
    <rPh sb="0" eb="4">
      <t>ショキヒヨウ</t>
    </rPh>
    <phoneticPr fontId="1"/>
  </si>
  <si>
    <t>媒体費</t>
    <rPh sb="0" eb="2">
      <t>バイタイ</t>
    </rPh>
    <rPh sb="2" eb="3">
      <t>ヒ</t>
    </rPh>
    <phoneticPr fontId="1"/>
  </si>
  <si>
    <t>交際費</t>
    <rPh sb="0" eb="3">
      <t>コウサイヒ</t>
    </rPh>
    <phoneticPr fontId="1"/>
  </si>
  <si>
    <t>バス</t>
  </si>
  <si>
    <t>バス</t>
    <phoneticPr fontId="1"/>
  </si>
  <si>
    <t>リファラル</t>
  </si>
  <si>
    <t>リファラル</t>
    <phoneticPr fontId="1"/>
  </si>
  <si>
    <t>紹介料</t>
    <rPh sb="0" eb="3">
      <t>ショウカイリョウ</t>
    </rPh>
    <phoneticPr fontId="1"/>
  </si>
  <si>
    <t>障がい者雇用</t>
    <rPh sb="0" eb="1">
      <t>ショウ</t>
    </rPh>
    <rPh sb="3" eb="4">
      <t>シャ</t>
    </rPh>
    <rPh sb="4" eb="6">
      <t>コヨウ</t>
    </rPh>
    <phoneticPr fontId="1"/>
  </si>
  <si>
    <t>業務委託費</t>
    <rPh sb="0" eb="4">
      <t>ギョウムイタク</t>
    </rPh>
    <rPh sb="4" eb="5">
      <t>ヒ</t>
    </rPh>
    <phoneticPr fontId="1"/>
  </si>
  <si>
    <t>適性検査（SPI）</t>
  </si>
  <si>
    <t>花代</t>
  </si>
  <si>
    <t>※リスト変更不可※</t>
    <rPh sb="4" eb="8">
      <t>ヘンコウフカ</t>
    </rPh>
    <phoneticPr fontId="1"/>
  </si>
  <si>
    <t>費用</t>
    <rPh sb="0" eb="2">
      <t>ヒヨウ</t>
    </rPh>
    <phoneticPr fontId="1"/>
  </si>
  <si>
    <t>採用人数</t>
    <rPh sb="0" eb="2">
      <t>サイヨウ</t>
    </rPh>
    <rPh sb="2" eb="4">
      <t>ニンズウ</t>
    </rPh>
    <phoneticPr fontId="1"/>
  </si>
  <si>
    <t>22新卒</t>
    <rPh sb="2" eb="4">
      <t>シンソツ</t>
    </rPh>
    <phoneticPr fontId="1"/>
  </si>
  <si>
    <t>71期キャリア</t>
    <rPh sb="2" eb="3">
      <t>キ</t>
    </rPh>
    <phoneticPr fontId="1"/>
  </si>
  <si>
    <t>70期キャリア</t>
    <rPh sb="2" eb="3">
      <t>キ</t>
    </rPh>
    <phoneticPr fontId="1"/>
  </si>
  <si>
    <t>71期業務委託</t>
    <rPh sb="2" eb="3">
      <t>キ</t>
    </rPh>
    <rPh sb="3" eb="7">
      <t>ギョウムイタク</t>
    </rPh>
    <phoneticPr fontId="1"/>
  </si>
  <si>
    <t>70期業務委託</t>
    <rPh sb="2" eb="3">
      <t>キ</t>
    </rPh>
    <rPh sb="3" eb="7">
      <t>ギョウムイタク</t>
    </rPh>
    <phoneticPr fontId="1"/>
  </si>
  <si>
    <t>71期PT</t>
    <rPh sb="2" eb="3">
      <t>キ</t>
    </rPh>
    <phoneticPr fontId="1"/>
  </si>
  <si>
    <t>70期PT</t>
    <rPh sb="2" eb="3">
      <t>キ</t>
    </rPh>
    <phoneticPr fontId="1"/>
  </si>
  <si>
    <t>71期留学生</t>
    <rPh sb="2" eb="3">
      <t>キ</t>
    </rPh>
    <rPh sb="3" eb="6">
      <t>リュウガクセイ</t>
    </rPh>
    <phoneticPr fontId="1"/>
  </si>
  <si>
    <t>70期留学生</t>
    <rPh sb="2" eb="3">
      <t>キ</t>
    </rPh>
    <rPh sb="3" eb="6">
      <t>リュウガクセイ</t>
    </rPh>
    <phoneticPr fontId="1"/>
  </si>
  <si>
    <t>71期技能実習生</t>
    <rPh sb="2" eb="3">
      <t>キ</t>
    </rPh>
    <rPh sb="3" eb="8">
      <t>ギノウジッシュウセイ</t>
    </rPh>
    <phoneticPr fontId="1"/>
  </si>
  <si>
    <t>70期技能実習生</t>
    <rPh sb="2" eb="3">
      <t>キ</t>
    </rPh>
    <rPh sb="3" eb="8">
      <t>ギノウジッシュウセイ</t>
    </rPh>
    <phoneticPr fontId="1"/>
  </si>
  <si>
    <t>71期障がい者雇用</t>
    <rPh sb="2" eb="3">
      <t>キ</t>
    </rPh>
    <rPh sb="3" eb="4">
      <t>ショウ</t>
    </rPh>
    <rPh sb="6" eb="9">
      <t>シャコヨウ</t>
    </rPh>
    <phoneticPr fontId="1"/>
  </si>
  <si>
    <t>70期障がい者雇用</t>
    <rPh sb="2" eb="3">
      <t>キ</t>
    </rPh>
    <rPh sb="3" eb="4">
      <t>ショウ</t>
    </rPh>
    <rPh sb="6" eb="9">
      <t>シャコヨウ</t>
    </rPh>
    <phoneticPr fontId="1"/>
  </si>
  <si>
    <t>区分</t>
    <phoneticPr fontId="1"/>
  </si>
  <si>
    <t>区分詳細</t>
    <rPh sb="0" eb="2">
      <t>クブン</t>
    </rPh>
    <rPh sb="2" eb="4">
      <t>ショウサイ</t>
    </rPh>
    <phoneticPr fontId="1"/>
  </si>
  <si>
    <t>科目</t>
    <rPh sb="0" eb="2">
      <t>カモク</t>
    </rPh>
    <phoneticPr fontId="1"/>
  </si>
  <si>
    <t>摘要</t>
  </si>
  <si>
    <t>借方</t>
  </si>
  <si>
    <t>◇使用ルール◇</t>
    <rPh sb="1" eb="3">
      <t>シヨウ</t>
    </rPh>
    <phoneticPr fontId="1"/>
  </si>
  <si>
    <t>区分</t>
    <rPh sb="0" eb="2">
      <t>クブン</t>
    </rPh>
    <phoneticPr fontId="1"/>
  </si>
  <si>
    <t>72期予算</t>
    <rPh sb="2" eb="3">
      <t>キ</t>
    </rPh>
    <rPh sb="3" eb="5">
      <t>ヨサン</t>
    </rPh>
    <phoneticPr fontId="1"/>
  </si>
  <si>
    <t>72期予算消化率</t>
    <rPh sb="2" eb="3">
      <t>キ</t>
    </rPh>
    <rPh sb="3" eb="5">
      <t>ヨサン</t>
    </rPh>
    <rPh sb="5" eb="8">
      <t>ショウカリツ</t>
    </rPh>
    <phoneticPr fontId="1"/>
  </si>
  <si>
    <t>72期障がい者雇用</t>
    <rPh sb="2" eb="3">
      <t>キ</t>
    </rPh>
    <rPh sb="3" eb="4">
      <t>ショウ</t>
    </rPh>
    <rPh sb="6" eb="9">
      <t>シャコヨウ</t>
    </rPh>
    <phoneticPr fontId="1"/>
  </si>
  <si>
    <t>72期技能実習生</t>
    <rPh sb="2" eb="3">
      <t>キ</t>
    </rPh>
    <rPh sb="3" eb="8">
      <t>ギノウジッシュウセイ</t>
    </rPh>
    <phoneticPr fontId="1"/>
  </si>
  <si>
    <t>72期留学生</t>
    <rPh sb="2" eb="3">
      <t>キ</t>
    </rPh>
    <rPh sb="3" eb="6">
      <t>リュウガクセイ</t>
    </rPh>
    <phoneticPr fontId="1"/>
  </si>
  <si>
    <t>72期PT</t>
    <rPh sb="2" eb="3">
      <t>キ</t>
    </rPh>
    <phoneticPr fontId="1"/>
  </si>
  <si>
    <t>72期業務委託</t>
    <rPh sb="2" eb="3">
      <t>キ</t>
    </rPh>
    <rPh sb="3" eb="7">
      <t>ギョウムイタク</t>
    </rPh>
    <phoneticPr fontId="1"/>
  </si>
  <si>
    <t>72期キャリア</t>
    <rPh sb="2" eb="3">
      <t>キ</t>
    </rPh>
    <phoneticPr fontId="1"/>
  </si>
  <si>
    <t>-</t>
    <phoneticPr fontId="1"/>
  </si>
  <si>
    <t>技能実習生</t>
    <rPh sb="0" eb="2">
      <t>ギノウ</t>
    </rPh>
    <rPh sb="2" eb="5">
      <t>ジッシュウセイ</t>
    </rPh>
    <phoneticPr fontId="1"/>
  </si>
  <si>
    <t>4月</t>
  </si>
  <si>
    <t>予算</t>
    <rPh sb="0" eb="2">
      <t>ヨサン</t>
    </rPh>
    <phoneticPr fontId="1"/>
  </si>
  <si>
    <t>対予算</t>
    <rPh sb="0" eb="3">
      <t>タイヨサン</t>
    </rPh>
    <phoneticPr fontId="1"/>
  </si>
  <si>
    <t>備考</t>
    <rPh sb="0" eb="2">
      <t>ビコウ</t>
    </rPh>
    <phoneticPr fontId="1"/>
  </si>
  <si>
    <t>①参照ボタンを押下し、ファイルを選択</t>
    <rPh sb="1" eb="3">
      <t>サンショウ</t>
    </rPh>
    <rPh sb="7" eb="9">
      <t>オウカ</t>
    </rPh>
    <rPh sb="16" eb="18">
      <t>センタク</t>
    </rPh>
    <phoneticPr fontId="1"/>
  </si>
  <si>
    <t>②インポートボタンを押下し「はい」を選択</t>
    <rPh sb="10" eb="12">
      <t>オウカ</t>
    </rPh>
    <rPh sb="18" eb="20">
      <t>センタク</t>
    </rPh>
    <phoneticPr fontId="1"/>
  </si>
  <si>
    <t>④借方補助科目名が「学生交通費」の時、「区分」「科目」が自動入力</t>
    <rPh sb="1" eb="3">
      <t>カリカタ</t>
    </rPh>
    <rPh sb="3" eb="7">
      <t>ホジョカモク</t>
    </rPh>
    <rPh sb="7" eb="8">
      <t>メイ</t>
    </rPh>
    <rPh sb="10" eb="15">
      <t>ガクセイコウツウヒ</t>
    </rPh>
    <rPh sb="17" eb="18">
      <t>トキ</t>
    </rPh>
    <rPh sb="20" eb="22">
      <t>クブン</t>
    </rPh>
    <rPh sb="24" eb="26">
      <t>カモク</t>
    </rPh>
    <rPh sb="28" eb="32">
      <t>ジドウニュウリョク</t>
    </rPh>
    <phoneticPr fontId="1"/>
  </si>
  <si>
    <t>⑤備考が入力されている場合、借方を自動で消去</t>
    <rPh sb="1" eb="3">
      <t>ビコウ</t>
    </rPh>
    <rPh sb="4" eb="6">
      <t>ニュウリョク</t>
    </rPh>
    <rPh sb="11" eb="13">
      <t>バアイ</t>
    </rPh>
    <rPh sb="14" eb="16">
      <t>カリカタ</t>
    </rPh>
    <rPh sb="17" eb="19">
      <t>ジドウ</t>
    </rPh>
    <rPh sb="20" eb="22">
      <t>ショウキョ</t>
    </rPh>
    <phoneticPr fontId="1"/>
  </si>
  <si>
    <t>自動入力</t>
    <rPh sb="0" eb="2">
      <t>ジドウ</t>
    </rPh>
    <rPh sb="2" eb="4">
      <t>ニュウリョク</t>
    </rPh>
    <phoneticPr fontId="1"/>
  </si>
  <si>
    <t>自動入力</t>
    <rPh sb="0" eb="4">
      <t>ジドウニュウリョク</t>
    </rPh>
    <phoneticPr fontId="1"/>
  </si>
  <si>
    <t>一部自動入力</t>
    <rPh sb="0" eb="2">
      <t>イチブ</t>
    </rPh>
    <rPh sb="2" eb="6">
      <t>ジドウニュウリョク</t>
    </rPh>
    <phoneticPr fontId="1"/>
  </si>
  <si>
    <t>一部自動入力</t>
    <rPh sb="0" eb="6">
      <t>イチブジドウニュウリョク</t>
    </rPh>
    <phoneticPr fontId="1"/>
  </si>
  <si>
    <t>選択（任意）</t>
    <rPh sb="0" eb="2">
      <t>センタク</t>
    </rPh>
    <rPh sb="3" eb="5">
      <t>ニンイ</t>
    </rPh>
    <phoneticPr fontId="1"/>
  </si>
  <si>
    <t>確認してください。</t>
    <rPh sb="0" eb="2">
      <t>カクニン</t>
    </rPh>
    <phoneticPr fontId="1"/>
  </si>
  <si>
    <t>※表記に不備がある場合は行が黄色に変化します。</t>
    <rPh sb="1" eb="3">
      <t>ヒョウキ</t>
    </rPh>
    <rPh sb="4" eb="6">
      <t>フビ</t>
    </rPh>
    <rPh sb="9" eb="11">
      <t>バアイ</t>
    </rPh>
    <rPh sb="12" eb="13">
      <t>ギョウ</t>
    </rPh>
    <rPh sb="14" eb="16">
      <t>キイロ</t>
    </rPh>
    <rPh sb="17" eb="19">
      <t>ヘンカ</t>
    </rPh>
    <phoneticPr fontId="1"/>
  </si>
  <si>
    <t>③元データExcelの２行目から最終行までの「伝票日付」「摘要」「借方」「備考」がコピー</t>
    <phoneticPr fontId="1"/>
  </si>
  <si>
    <t>伝票日付</t>
    <phoneticPr fontId="1"/>
  </si>
  <si>
    <t>採用費管理システム</t>
    <rPh sb="0" eb="5">
      <t>サイヨウヒカンリ</t>
    </rPh>
    <phoneticPr fontId="1"/>
  </si>
  <si>
    <r>
      <rPr>
        <b/>
        <sz val="11"/>
        <color theme="4"/>
        <rFont val="Meiryo UI"/>
        <family val="3"/>
        <charset val="128"/>
      </rPr>
      <t>management  of recrument cost system</t>
    </r>
    <r>
      <rPr>
        <b/>
        <sz val="11"/>
        <color theme="1"/>
        <rFont val="Meiryo UI"/>
        <family val="3"/>
        <charset val="128"/>
      </rPr>
      <t xml:space="preserve">
↓参照データ</t>
    </r>
    <rPh sb="38" eb="40">
      <t>サンショウ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</si>
</sst>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"/>
    <numFmt numFmtId="177" formatCode="#,##0_);[Red]\(#,##0\)"/>
    <numFmt numFmtId="178" formatCode="#,###,"/>
    <numFmt numFmtId="179" formatCode="ggge&quot;年&quot;m&quot;月&quot;d&quot;日&quot;"/>
    <numFmt numFmtId="180" formatCode="0.0%"/>
  </numFmts>
  <fonts count="2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3"/>
      <charset val="128"/>
      <scheme val="major"/>
    </font>
    <font>
      <sz val="11"/>
      <color rgb="FFFF0000"/>
      <name val="ＭＳ Ｐゴシック"/>
      <family val="3"/>
      <charset val="128"/>
      <scheme val="major"/>
    </font>
    <font>
      <sz val="11"/>
      <name val="ＭＳ Ｐゴシック"/>
      <family val="3"/>
      <charset val="128"/>
      <scheme val="maj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22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4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1"/>
      <color rgb="FF7030A0"/>
      <name val="Meiryo UI"/>
      <family val="3"/>
      <charset val="128"/>
    </font>
    <font>
      <b/>
      <sz val="11"/>
      <color rgb="FF00B050"/>
      <name val="Meiryo UI"/>
      <family val="3"/>
      <charset val="128"/>
    </font>
    <font>
      <sz val="11"/>
      <color rgb="FFFFFFFF"/>
      <name val="Meiryo UI"/>
      <family val="3"/>
      <charset val="128"/>
    </font>
    <font>
      <b/>
      <sz val="22"/>
      <color theme="4"/>
      <name val="Meiryo UI"/>
      <family val="3"/>
      <charset val="128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/>
      <right/>
      <top/>
      <bottom style="thick">
        <color theme="4"/>
      </bottom>
      <diagonal/>
    </border>
  </borders>
  <cellStyleXfs count="6">
    <xf numFmtId="0" fontId="0" fillId="0" borderId="0">
      <alignment vertical="center"/>
    </xf>
    <xf numFmtId="0" fontId="4" fillId="0" borderId="0"/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38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18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9" fillId="0" borderId="10" xfId="0" applyFont="1" applyBorder="1" applyAlignment="1">
      <alignment horizontal="center" vertical="center"/>
    </xf>
    <xf numFmtId="178" fontId="5" fillId="0" borderId="7" xfId="1" applyNumberFormat="1" applyFont="1" applyBorder="1" applyAlignment="1" applyProtection="1">
      <alignment shrinkToFit="1"/>
      <protection locked="0"/>
    </xf>
    <xf numFmtId="178" fontId="6" fillId="3" borderId="9" xfId="2" applyNumberFormat="1" applyFill="1" applyBorder="1" applyAlignment="1">
      <alignment shrinkToFit="1"/>
    </xf>
    <xf numFmtId="178" fontId="6" fillId="10" borderId="7" xfId="2" applyNumberFormat="1" applyFill="1" applyBorder="1" applyAlignment="1" applyProtection="1">
      <alignment shrinkToFit="1"/>
      <protection locked="0"/>
    </xf>
    <xf numFmtId="176" fontId="11" fillId="9" borderId="7" xfId="1" applyNumberFormat="1" applyFont="1" applyFill="1" applyBorder="1" applyAlignment="1" applyProtection="1">
      <alignment shrinkToFit="1"/>
      <protection locked="0"/>
    </xf>
    <xf numFmtId="176" fontId="9" fillId="9" borderId="8" xfId="2" applyNumberFormat="1" applyFont="1" applyFill="1" applyBorder="1" applyAlignment="1">
      <alignment shrinkToFit="1"/>
    </xf>
    <xf numFmtId="38" fontId="0" fillId="0" borderId="1" xfId="4" applyFont="1" applyBorder="1">
      <alignment vertical="center"/>
    </xf>
    <xf numFmtId="0" fontId="0" fillId="12" borderId="0" xfId="0" applyFill="1">
      <alignment vertical="center"/>
    </xf>
    <xf numFmtId="178" fontId="0" fillId="12" borderId="0" xfId="0" applyNumberFormat="1" applyFill="1">
      <alignment vertical="center"/>
    </xf>
    <xf numFmtId="9" fontId="0" fillId="12" borderId="0" xfId="5" applyFont="1" applyFill="1">
      <alignment vertical="center"/>
    </xf>
    <xf numFmtId="0" fontId="0" fillId="12" borderId="0" xfId="0" applyFill="1" applyAlignment="1">
      <alignment horizontal="right" vertical="center"/>
    </xf>
    <xf numFmtId="0" fontId="3" fillId="0" borderId="0" xfId="0" applyFont="1">
      <alignment vertical="center"/>
    </xf>
    <xf numFmtId="0" fontId="2" fillId="12" borderId="0" xfId="0" applyFont="1" applyFill="1">
      <alignment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76" fontId="11" fillId="0" borderId="0" xfId="1" applyNumberFormat="1" applyFont="1" applyAlignment="1" applyProtection="1">
      <alignment shrinkToFit="1"/>
      <protection locked="0"/>
    </xf>
    <xf numFmtId="0" fontId="11" fillId="0" borderId="0" xfId="0" applyFont="1">
      <alignment vertical="center"/>
    </xf>
    <xf numFmtId="0" fontId="11" fillId="9" borderId="6" xfId="2" applyFont="1" applyFill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2" fillId="0" borderId="1" xfId="0" applyFont="1" applyBorder="1">
      <alignment vertical="center"/>
    </xf>
    <xf numFmtId="0" fontId="12" fillId="0" borderId="5" xfId="0" applyFont="1" applyBorder="1" applyAlignment="1">
      <alignment horizontal="center" vertical="center"/>
    </xf>
    <xf numFmtId="0" fontId="12" fillId="0" borderId="0" xfId="0" applyFont="1">
      <alignment vertical="center"/>
    </xf>
    <xf numFmtId="0" fontId="7" fillId="0" borderId="6" xfId="0" applyFont="1" applyBorder="1">
      <alignment vertical="center"/>
    </xf>
    <xf numFmtId="178" fontId="6" fillId="3" borderId="1" xfId="2" applyNumberFormat="1" applyFill="1" applyBorder="1">
      <alignment vertical="center"/>
    </xf>
    <xf numFmtId="178" fontId="0" fillId="0" borderId="1" xfId="0" applyNumberFormat="1" applyBorder="1">
      <alignment vertical="center"/>
    </xf>
    <xf numFmtId="178" fontId="6" fillId="0" borderId="7" xfId="2" applyNumberFormat="1" applyFill="1" applyBorder="1" applyAlignment="1" applyProtection="1">
      <alignment shrinkToFit="1"/>
      <protection locked="0"/>
    </xf>
    <xf numFmtId="178" fontId="6" fillId="0" borderId="8" xfId="2" applyNumberFormat="1" applyFill="1" applyBorder="1" applyAlignment="1">
      <alignment shrinkToFit="1"/>
    </xf>
    <xf numFmtId="0" fontId="12" fillId="10" borderId="6" xfId="2" applyFont="1" applyFill="1" applyBorder="1" applyAlignment="1">
      <alignment horizontal="center" vertical="center"/>
    </xf>
    <xf numFmtId="178" fontId="6" fillId="10" borderId="8" xfId="2" applyNumberFormat="1" applyFill="1" applyBorder="1" applyAlignment="1">
      <alignment shrinkToFit="1"/>
    </xf>
    <xf numFmtId="178" fontId="6" fillId="10" borderId="1" xfId="2" applyNumberFormat="1" applyFill="1" applyBorder="1">
      <alignment vertical="center"/>
    </xf>
    <xf numFmtId="178" fontId="6" fillId="9" borderId="1" xfId="2" applyNumberFormat="1" applyFill="1" applyBorder="1">
      <alignment vertical="center"/>
    </xf>
    <xf numFmtId="178" fontId="0" fillId="9" borderId="1" xfId="0" applyNumberFormat="1" applyFill="1" applyBorder="1">
      <alignment vertical="center"/>
    </xf>
    <xf numFmtId="178" fontId="5" fillId="9" borderId="7" xfId="1" applyNumberFormat="1" applyFont="1" applyFill="1" applyBorder="1" applyAlignment="1" applyProtection="1">
      <alignment shrinkToFit="1"/>
      <protection locked="0"/>
    </xf>
    <xf numFmtId="178" fontId="6" fillId="9" borderId="8" xfId="2" applyNumberFormat="1" applyFill="1" applyBorder="1" applyAlignment="1">
      <alignment shrinkToFit="1"/>
    </xf>
    <xf numFmtId="178" fontId="6" fillId="9" borderId="9" xfId="2" applyNumberFormat="1" applyFill="1" applyBorder="1" applyAlignment="1">
      <alignment shrinkToFit="1"/>
    </xf>
    <xf numFmtId="176" fontId="9" fillId="0" borderId="8" xfId="2" applyNumberFormat="1" applyFont="1" applyFill="1" applyBorder="1" applyAlignment="1">
      <alignment shrinkToFit="1"/>
    </xf>
    <xf numFmtId="0" fontId="11" fillId="10" borderId="5" xfId="0" applyFont="1" applyFill="1" applyBorder="1" applyAlignment="1">
      <alignment horizontal="center" vertical="center"/>
    </xf>
    <xf numFmtId="176" fontId="11" fillId="10" borderId="7" xfId="1" applyNumberFormat="1" applyFont="1" applyFill="1" applyBorder="1" applyAlignment="1" applyProtection="1">
      <alignment shrinkToFit="1"/>
      <protection locked="0"/>
    </xf>
    <xf numFmtId="176" fontId="9" fillId="10" borderId="8" xfId="2" applyNumberFormat="1" applyFont="1" applyFill="1" applyBorder="1" applyAlignment="1">
      <alignment shrinkToFit="1"/>
    </xf>
    <xf numFmtId="176" fontId="9" fillId="3" borderId="9" xfId="2" applyNumberFormat="1" applyFont="1" applyFill="1" applyBorder="1" applyAlignment="1">
      <alignment shrinkToFit="1"/>
    </xf>
    <xf numFmtId="0" fontId="9" fillId="0" borderId="19" xfId="0" applyFont="1" applyBorder="1" applyAlignment="1">
      <alignment horizontal="center" vertical="center" shrinkToFit="1"/>
    </xf>
    <xf numFmtId="0" fontId="11" fillId="0" borderId="19" xfId="0" applyFont="1" applyBorder="1">
      <alignment vertical="center"/>
    </xf>
    <xf numFmtId="0" fontId="9" fillId="0" borderId="19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177" fontId="9" fillId="0" borderId="6" xfId="3" applyNumberFormat="1" applyFont="1" applyFill="1" applyBorder="1">
      <alignment vertical="center"/>
    </xf>
    <xf numFmtId="176" fontId="9" fillId="0" borderId="9" xfId="2" applyNumberFormat="1" applyFont="1" applyFill="1" applyBorder="1" applyAlignment="1">
      <alignment shrinkToFit="1"/>
    </xf>
    <xf numFmtId="0" fontId="11" fillId="9" borderId="20" xfId="2" applyFont="1" applyFill="1" applyBorder="1" applyAlignment="1">
      <alignment horizontal="center" vertical="center"/>
    </xf>
    <xf numFmtId="176" fontId="11" fillId="9" borderId="20" xfId="1" applyNumberFormat="1" applyFont="1" applyFill="1" applyBorder="1" applyAlignment="1" applyProtection="1">
      <alignment shrinkToFit="1"/>
      <protection locked="0"/>
    </xf>
    <xf numFmtId="176" fontId="9" fillId="9" borderId="21" xfId="2" applyNumberFormat="1" applyFont="1" applyFill="1" applyBorder="1" applyAlignment="1">
      <alignment shrinkToFit="1"/>
    </xf>
    <xf numFmtId="0" fontId="2" fillId="0" borderId="0" xfId="0" applyFont="1">
      <alignment vertical="center"/>
    </xf>
    <xf numFmtId="0" fontId="0" fillId="14" borderId="0" xfId="0" applyFill="1">
      <alignment vertical="center"/>
    </xf>
    <xf numFmtId="0" fontId="0" fillId="7" borderId="0" xfId="0" applyFill="1">
      <alignment vertical="center"/>
    </xf>
    <xf numFmtId="0" fontId="13" fillId="2" borderId="0" xfId="0" applyFont="1" applyFill="1">
      <alignment vertical="center"/>
    </xf>
    <xf numFmtId="0" fontId="0" fillId="11" borderId="0" xfId="0" applyFill="1">
      <alignment vertical="center"/>
    </xf>
    <xf numFmtId="0" fontId="0" fillId="15" borderId="0" xfId="0" applyFill="1">
      <alignment vertical="center"/>
    </xf>
    <xf numFmtId="0" fontId="14" fillId="0" borderId="0" xfId="0" applyFont="1">
      <alignment vertical="center"/>
    </xf>
    <xf numFmtId="0" fontId="11" fillId="9" borderId="5" xfId="2" applyFont="1" applyFill="1" applyBorder="1" applyAlignment="1">
      <alignment horizontal="center" vertical="center"/>
    </xf>
    <xf numFmtId="176" fontId="11" fillId="9" borderId="5" xfId="1" applyNumberFormat="1" applyFont="1" applyFill="1" applyBorder="1" applyAlignment="1" applyProtection="1">
      <alignment shrinkToFit="1"/>
      <protection locked="0"/>
    </xf>
    <xf numFmtId="176" fontId="11" fillId="9" borderId="22" xfId="1" applyNumberFormat="1" applyFont="1" applyFill="1" applyBorder="1" applyAlignment="1" applyProtection="1">
      <alignment shrinkToFit="1"/>
      <protection locked="0"/>
    </xf>
    <xf numFmtId="176" fontId="9" fillId="0" borderId="23" xfId="2" applyNumberFormat="1" applyFont="1" applyFill="1" applyBorder="1" applyAlignment="1">
      <alignment shrinkToFit="1"/>
    </xf>
    <xf numFmtId="0" fontId="10" fillId="0" borderId="5" xfId="0" applyFont="1" applyBorder="1">
      <alignment vertical="center"/>
    </xf>
    <xf numFmtId="0" fontId="0" fillId="0" borderId="2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38" fontId="0" fillId="0" borderId="26" xfId="4" applyFont="1" applyBorder="1">
      <alignment vertical="center"/>
    </xf>
    <xf numFmtId="0" fontId="15" fillId="0" borderId="24" xfId="0" applyFont="1" applyBorder="1">
      <alignment vertical="center"/>
    </xf>
    <xf numFmtId="38" fontId="0" fillId="2" borderId="25" xfId="4" applyFont="1" applyFill="1" applyBorder="1">
      <alignment vertical="center"/>
    </xf>
    <xf numFmtId="0" fontId="0" fillId="0" borderId="6" xfId="0" applyBorder="1">
      <alignment vertical="center"/>
    </xf>
    <xf numFmtId="38" fontId="0" fillId="0" borderId="27" xfId="4" applyFont="1" applyBorder="1">
      <alignment vertical="center"/>
    </xf>
    <xf numFmtId="0" fontId="15" fillId="0" borderId="0" xfId="0" applyFont="1">
      <alignment vertical="center"/>
    </xf>
    <xf numFmtId="38" fontId="0" fillId="2" borderId="16" xfId="4" applyFont="1" applyFill="1" applyBorder="1">
      <alignment vertical="center"/>
    </xf>
    <xf numFmtId="0" fontId="0" fillId="0" borderId="3" xfId="0" applyBorder="1">
      <alignment vertical="center"/>
    </xf>
    <xf numFmtId="38" fontId="0" fillId="0" borderId="28" xfId="4" applyFont="1" applyBorder="1">
      <alignment vertical="center"/>
    </xf>
    <xf numFmtId="0" fontId="15" fillId="0" borderId="4" xfId="0" applyFont="1" applyBorder="1">
      <alignment vertical="center"/>
    </xf>
    <xf numFmtId="38" fontId="0" fillId="2" borderId="29" xfId="4" applyFont="1" applyFill="1" applyBorder="1">
      <alignment vertical="center"/>
    </xf>
    <xf numFmtId="0" fontId="0" fillId="0" borderId="24" xfId="0" applyBorder="1">
      <alignment vertical="center"/>
    </xf>
    <xf numFmtId="0" fontId="0" fillId="0" borderId="28" xfId="0" applyBorder="1">
      <alignment vertical="center"/>
    </xf>
    <xf numFmtId="0" fontId="0" fillId="0" borderId="4" xfId="0" applyBorder="1">
      <alignment vertical="center"/>
    </xf>
    <xf numFmtId="0" fontId="0" fillId="2" borderId="29" xfId="0" applyFill="1" applyBorder="1">
      <alignment vertical="center"/>
    </xf>
    <xf numFmtId="49" fontId="0" fillId="0" borderId="0" xfId="0" applyNumberFormat="1">
      <alignment vertical="center"/>
    </xf>
    <xf numFmtId="179" fontId="0" fillId="0" borderId="0" xfId="0" applyNumberFormat="1">
      <alignment vertical="center"/>
    </xf>
    <xf numFmtId="38" fontId="0" fillId="0" borderId="0" xfId="4" applyFont="1">
      <alignment vertical="center"/>
    </xf>
    <xf numFmtId="0" fontId="0" fillId="17" borderId="0" xfId="0" applyFill="1">
      <alignment vertical="center"/>
    </xf>
    <xf numFmtId="38" fontId="9" fillId="18" borderId="10" xfId="4" applyFont="1" applyFill="1" applyBorder="1">
      <alignment vertical="center"/>
    </xf>
    <xf numFmtId="38" fontId="9" fillId="18" borderId="31" xfId="4" applyFont="1" applyFill="1" applyBorder="1">
      <alignment vertical="center"/>
    </xf>
    <xf numFmtId="38" fontId="9" fillId="18" borderId="33" xfId="4" applyFont="1" applyFill="1" applyBorder="1">
      <alignment vertical="center"/>
    </xf>
    <xf numFmtId="38" fontId="9" fillId="18" borderId="19" xfId="4" applyFont="1" applyFill="1" applyBorder="1">
      <alignment vertical="center"/>
    </xf>
    <xf numFmtId="176" fontId="11" fillId="9" borderId="2" xfId="1" applyNumberFormat="1" applyFont="1" applyFill="1" applyBorder="1" applyAlignment="1" applyProtection="1">
      <alignment shrinkToFit="1"/>
      <protection locked="0"/>
    </xf>
    <xf numFmtId="180" fontId="9" fillId="18" borderId="34" xfId="5" applyNumberFormat="1" applyFont="1" applyFill="1" applyBorder="1">
      <alignment vertical="center"/>
    </xf>
    <xf numFmtId="176" fontId="11" fillId="0" borderId="37" xfId="1" applyNumberFormat="1" applyFont="1" applyBorder="1" applyAlignment="1" applyProtection="1">
      <alignment shrinkToFit="1"/>
      <protection locked="0"/>
    </xf>
    <xf numFmtId="176" fontId="11" fillId="10" borderId="1" xfId="1" applyNumberFormat="1" applyFont="1" applyFill="1" applyBorder="1" applyAlignment="1" applyProtection="1">
      <alignment shrinkToFit="1"/>
      <protection locked="0"/>
    </xf>
    <xf numFmtId="176" fontId="11" fillId="0" borderId="40" xfId="1" applyNumberFormat="1" applyFont="1" applyBorder="1" applyAlignment="1" applyProtection="1">
      <alignment shrinkToFit="1"/>
      <protection locked="0"/>
    </xf>
    <xf numFmtId="176" fontId="11" fillId="0" borderId="41" xfId="1" applyNumberFormat="1" applyFont="1" applyBorder="1" applyAlignment="1" applyProtection="1">
      <alignment shrinkToFit="1"/>
      <protection locked="0"/>
    </xf>
    <xf numFmtId="176" fontId="11" fillId="10" borderId="12" xfId="1" applyNumberFormat="1" applyFont="1" applyFill="1" applyBorder="1" applyAlignment="1" applyProtection="1">
      <alignment shrinkToFit="1"/>
      <protection locked="0"/>
    </xf>
    <xf numFmtId="176" fontId="11" fillId="10" borderId="13" xfId="1" applyNumberFormat="1" applyFont="1" applyFill="1" applyBorder="1" applyAlignment="1" applyProtection="1">
      <alignment shrinkToFit="1"/>
      <protection locked="0"/>
    </xf>
    <xf numFmtId="180" fontId="9" fillId="18" borderId="32" xfId="5" applyNumberFormat="1" applyFont="1" applyFill="1" applyBorder="1">
      <alignment vertical="center"/>
    </xf>
    <xf numFmtId="176" fontId="11" fillId="9" borderId="18" xfId="1" applyNumberFormat="1" applyFont="1" applyFill="1" applyBorder="1" applyAlignment="1" applyProtection="1">
      <alignment shrinkToFit="1"/>
      <protection locked="0"/>
    </xf>
    <xf numFmtId="176" fontId="11" fillId="9" borderId="42" xfId="1" applyNumberFormat="1" applyFont="1" applyFill="1" applyBorder="1" applyAlignment="1" applyProtection="1">
      <alignment shrinkToFit="1"/>
      <protection locked="0"/>
    </xf>
    <xf numFmtId="180" fontId="9" fillId="18" borderId="19" xfId="5" applyNumberFormat="1" applyFont="1" applyFill="1" applyBorder="1">
      <alignment vertical="center"/>
    </xf>
    <xf numFmtId="180" fontId="9" fillId="18" borderId="35" xfId="5" applyNumberFormat="1" applyFont="1" applyFill="1" applyBorder="1">
      <alignment vertical="center"/>
    </xf>
    <xf numFmtId="3" fontId="0" fillId="0" borderId="27" xfId="0" applyNumberFormat="1" applyBorder="1">
      <alignment vertical="center"/>
    </xf>
    <xf numFmtId="38" fontId="15" fillId="2" borderId="16" xfId="4" applyFont="1" applyFill="1" applyBorder="1">
      <alignment vertical="center"/>
    </xf>
    <xf numFmtId="0" fontId="0" fillId="0" borderId="26" xfId="0" applyBorder="1">
      <alignment vertical="center"/>
    </xf>
    <xf numFmtId="38" fontId="0" fillId="0" borderId="27" xfId="4" applyFont="1" applyFill="1" applyBorder="1">
      <alignment vertical="center"/>
    </xf>
    <xf numFmtId="0" fontId="0" fillId="2" borderId="25" xfId="0" applyFill="1" applyBorder="1">
      <alignment vertical="center"/>
    </xf>
    <xf numFmtId="3" fontId="0" fillId="0" borderId="28" xfId="0" applyNumberFormat="1" applyBorder="1">
      <alignment vertical="center"/>
    </xf>
    <xf numFmtId="38" fontId="0" fillId="2" borderId="29" xfId="0" applyNumberFormat="1" applyFill="1" applyBorder="1">
      <alignment vertical="center"/>
    </xf>
    <xf numFmtId="0" fontId="0" fillId="0" borderId="27" xfId="0" applyBorder="1">
      <alignment vertical="center"/>
    </xf>
    <xf numFmtId="9" fontId="0" fillId="2" borderId="1" xfId="5" applyFont="1" applyFill="1" applyBorder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13" fillId="0" borderId="0" xfId="0" applyFont="1">
      <alignment vertical="center"/>
    </xf>
    <xf numFmtId="176" fontId="18" fillId="0" borderId="0" xfId="0" applyNumberFormat="1" applyFont="1" applyAlignment="1">
      <alignment horizontal="center" vertical="center" wrapText="1"/>
    </xf>
    <xf numFmtId="176" fontId="21" fillId="0" borderId="0" xfId="0" applyNumberFormat="1" applyFont="1">
      <alignment vertical="center"/>
    </xf>
    <xf numFmtId="38" fontId="21" fillId="0" borderId="0" xfId="4" applyFont="1">
      <alignment vertical="center"/>
    </xf>
    <xf numFmtId="0" fontId="21" fillId="0" borderId="0" xfId="0" applyFont="1">
      <alignment vertical="center"/>
    </xf>
    <xf numFmtId="179" fontId="22" fillId="0" borderId="0" xfId="0" applyNumberFormat="1" applyFont="1">
      <alignment vertical="center"/>
    </xf>
    <xf numFmtId="49" fontId="21" fillId="0" borderId="0" xfId="0" applyNumberFormat="1" applyFont="1">
      <alignment vertical="center"/>
    </xf>
    <xf numFmtId="0" fontId="23" fillId="0" borderId="0" xfId="0" applyFont="1">
      <alignment vertical="center"/>
    </xf>
    <xf numFmtId="176" fontId="21" fillId="0" borderId="43" xfId="0" applyNumberFormat="1" applyFont="1" applyBorder="1">
      <alignment vertical="center"/>
    </xf>
    <xf numFmtId="179" fontId="24" fillId="0" borderId="0" xfId="0" applyNumberFormat="1" applyFont="1">
      <alignment vertical="center"/>
    </xf>
    <xf numFmtId="179" fontId="25" fillId="0" borderId="0" xfId="0" applyNumberFormat="1" applyFont="1">
      <alignment vertical="center"/>
    </xf>
    <xf numFmtId="49" fontId="25" fillId="0" borderId="0" xfId="0" applyNumberFormat="1" applyFont="1">
      <alignment vertical="center"/>
    </xf>
    <xf numFmtId="176" fontId="23" fillId="0" borderId="0" xfId="0" applyNumberFormat="1" applyFont="1">
      <alignment vertical="center"/>
    </xf>
    <xf numFmtId="0" fontId="24" fillId="0" borderId="0" xfId="0" applyFont="1">
      <alignment vertical="center"/>
    </xf>
    <xf numFmtId="49" fontId="26" fillId="16" borderId="2" xfId="0" applyNumberFormat="1" applyFont="1" applyFill="1" applyBorder="1">
      <alignment vertical="center"/>
    </xf>
    <xf numFmtId="38" fontId="26" fillId="16" borderId="2" xfId="4" applyFont="1" applyFill="1" applyBorder="1" applyAlignment="1">
      <alignment vertical="center" wrapText="1"/>
    </xf>
    <xf numFmtId="49" fontId="26" fillId="16" borderId="6" xfId="0" applyNumberFormat="1" applyFont="1" applyFill="1" applyBorder="1">
      <alignment vertical="center"/>
    </xf>
    <xf numFmtId="176" fontId="27" fillId="0" borderId="44" xfId="0" applyNumberFormat="1" applyFont="1" applyBorder="1" applyAlignment="1">
      <alignment horizontal="center" vertical="center"/>
    </xf>
    <xf numFmtId="179" fontId="22" fillId="0" borderId="0" xfId="0" applyNumberFormat="1" applyFont="1" applyAlignment="1"/>
    <xf numFmtId="0" fontId="9" fillId="18" borderId="30" xfId="0" applyFont="1" applyFill="1" applyBorder="1" applyAlignment="1">
      <alignment horizontal="center" vertical="center"/>
    </xf>
    <xf numFmtId="0" fontId="9" fillId="18" borderId="31" xfId="0" applyFont="1" applyFill="1" applyBorder="1" applyAlignment="1">
      <alignment horizontal="center" vertical="center"/>
    </xf>
    <xf numFmtId="0" fontId="9" fillId="18" borderId="32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 shrinkToFit="1"/>
    </xf>
    <xf numFmtId="0" fontId="9" fillId="8" borderId="2" xfId="0" applyFont="1" applyFill="1" applyBorder="1" applyAlignment="1">
      <alignment horizontal="center" vertical="center" shrinkToFit="1"/>
    </xf>
    <xf numFmtId="0" fontId="9" fillId="6" borderId="2" xfId="0" applyFont="1" applyFill="1" applyBorder="1" applyAlignment="1">
      <alignment horizontal="center" vertical="center" shrinkToFit="1"/>
    </xf>
    <xf numFmtId="0" fontId="9" fillId="6" borderId="6" xfId="0" applyFont="1" applyFill="1" applyBorder="1" applyAlignment="1">
      <alignment horizontal="center" vertical="center" shrinkToFit="1"/>
    </xf>
    <xf numFmtId="0" fontId="9" fillId="6" borderId="3" xfId="0" applyFont="1" applyFill="1" applyBorder="1" applyAlignment="1">
      <alignment horizontal="center" vertical="center" shrinkToFit="1"/>
    </xf>
    <xf numFmtId="0" fontId="9" fillId="13" borderId="12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11" borderId="12" xfId="0" applyFont="1" applyFill="1" applyBorder="1" applyAlignment="1">
      <alignment horizontal="center" vertical="center"/>
    </xf>
    <xf numFmtId="0" fontId="9" fillId="17" borderId="12" xfId="0" applyFont="1" applyFill="1" applyBorder="1" applyAlignment="1">
      <alignment horizontal="center" vertical="center" wrapText="1"/>
    </xf>
    <xf numFmtId="0" fontId="9" fillId="11" borderId="1" xfId="0" applyFont="1" applyFill="1" applyBorder="1" applyAlignment="1">
      <alignment horizontal="center" vertical="center" wrapText="1" shrinkToFit="1"/>
    </xf>
    <xf numFmtId="0" fontId="9" fillId="7" borderId="1" xfId="0" applyFont="1" applyFill="1" applyBorder="1" applyAlignment="1">
      <alignment horizontal="center" vertical="center" shrinkToFit="1"/>
    </xf>
    <xf numFmtId="0" fontId="9" fillId="17" borderId="1" xfId="0" applyFont="1" applyFill="1" applyBorder="1" applyAlignment="1">
      <alignment horizontal="center" vertical="center" wrapText="1" shrinkToFit="1"/>
    </xf>
    <xf numFmtId="0" fontId="9" fillId="2" borderId="1" xfId="0" applyFont="1" applyFill="1" applyBorder="1" applyAlignment="1">
      <alignment horizontal="center" vertical="center" shrinkToFit="1"/>
    </xf>
    <xf numFmtId="0" fontId="9" fillId="6" borderId="1" xfId="0" applyFont="1" applyFill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9" fontId="20" fillId="0" borderId="44" xfId="0" applyNumberFormat="1" applyFont="1" applyBorder="1" applyAlignment="1">
      <alignment horizontal="center" vertical="center"/>
    </xf>
    <xf numFmtId="179" fontId="0" fillId="0" borderId="1" xfId="0" applyNumberFormat="1" applyFill="1" applyBorder="1">
      <alignment vertical="center"/>
    </xf>
    <xf numFmtId="49" fontId="0" fillId="0" borderId="1" xfId="0" applyNumberForma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49" fontId="12" fillId="0" borderId="1" xfId="0" applyNumberFormat="1" applyFont="1" applyFill="1" applyBorder="1">
      <alignment vertical="center"/>
    </xf>
    <xf numFmtId="176" fontId="12" fillId="0" borderId="1" xfId="0" applyNumberFormat="1" applyFont="1" applyFill="1" applyBorder="1">
      <alignment vertical="center"/>
    </xf>
    <xf numFmtId="0" fontId="13" fillId="0" borderId="1" xfId="0" applyFont="1" applyFill="1" applyBorder="1">
      <alignment vertical="center"/>
    </xf>
  </cellXfs>
  <cellStyles count="6">
    <cellStyle name="20% - アクセント 1" xfId="2" builtinId="30"/>
    <cellStyle name="20% - アクセント 6" xfId="3" builtinId="50"/>
    <cellStyle name="パーセント" xfId="5" builtinId="5"/>
    <cellStyle name="桁区切り" xfId="4" builtinId="6"/>
    <cellStyle name="標準" xfId="0" builtinId="0"/>
    <cellStyle name="標準_内訳表" xfId="1" xr:uid="{00000000-0005-0000-0000-000001000000}"/>
  </cellStyles>
  <dxfs count="0"/>
  <tableStyles count="0" defaultTableStyle="TableStyleMedium2" defaultPivotStyle="PivotStyleLight16"/>
  <colors>
    <mruColors>
      <color rgb="FFFF33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'72期活動費'!$D$34</c:f>
              <c:strCache>
                <c:ptCount val="1"/>
                <c:pt idx="0">
                  <c:v>70期実績</c:v>
                </c:pt>
              </c:strCache>
            </c:strRef>
          </c:tx>
          <c:spPr>
            <a:solidFill>
              <a:srgbClr val="FF33C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'72期活動費'!$C$35:$C$40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'72期活動費'!$D$35:$D$41</c15:sqref>
                  </c15:fullRef>
                </c:ext>
              </c:extLst>
              <c:f>'72期活動費'!$D$35:$D$40</c:f>
              <c:numCache>
                <c:formatCode>#,###,</c:formatCode>
                <c:ptCount val="6"/>
                <c:pt idx="0">
                  <c:v>5465645</c:v>
                </c:pt>
                <c:pt idx="1">
                  <c:v>31267043</c:v>
                </c:pt>
                <c:pt idx="2">
                  <c:v>5248837</c:v>
                </c:pt>
                <c:pt idx="3">
                  <c:v>3178819</c:v>
                </c:pt>
                <c:pt idx="4">
                  <c:v>0</c:v>
                </c:pt>
                <c:pt idx="5">
                  <c:v>11080949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D6-4DCC-9288-E047E5F1187D}"/>
            </c:ext>
          </c:extLst>
        </c:ser>
        <c:ser>
          <c:idx val="1"/>
          <c:order val="1"/>
          <c:tx>
            <c:strRef>
              <c:f>'72期活動費'!$E$34</c:f>
              <c:strCache>
                <c:ptCount val="1"/>
                <c:pt idx="0">
                  <c:v>71期実績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'72期活動費'!$C$35:$C$40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'72期活動費'!$E$35:$E$41</c15:sqref>
                  </c15:fullRef>
                </c:ext>
              </c:extLst>
              <c:f>'72期活動費'!$E$35:$E$40</c:f>
              <c:numCache>
                <c:formatCode>#,###,</c:formatCode>
                <c:ptCount val="6"/>
                <c:pt idx="0">
                  <c:v>14946233</c:v>
                </c:pt>
                <c:pt idx="1">
                  <c:v>59289759</c:v>
                </c:pt>
                <c:pt idx="2">
                  <c:v>10522760</c:v>
                </c:pt>
                <c:pt idx="3">
                  <c:v>136709</c:v>
                </c:pt>
                <c:pt idx="4">
                  <c:v>19577776</c:v>
                </c:pt>
                <c:pt idx="5">
                  <c:v>18580609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D6-4DCC-9288-E047E5F1187D}"/>
            </c:ext>
          </c:extLst>
        </c:ser>
        <c:ser>
          <c:idx val="2"/>
          <c:order val="2"/>
          <c:tx>
            <c:strRef>
              <c:f>'72期活動費'!$F$34</c:f>
              <c:strCache>
                <c:ptCount val="1"/>
                <c:pt idx="0">
                  <c:v>72期実績</c:v>
                </c:pt>
              </c:strCache>
            </c:strRef>
          </c:tx>
          <c:spPr>
            <a:pattFill prst="lt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'72期活動費'!$C$35:$C$40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'72期活動費'!$F$35:$F$41</c15:sqref>
                  </c15:fullRef>
                </c:ext>
              </c:extLst>
              <c:f>'72期活動費'!$F$35:$F$40</c:f>
              <c:numCache>
                <c:formatCode>#,###,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D6-4DCC-9288-E047E5F118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84937632"/>
        <c:axId val="1384952192"/>
      </c:barChart>
      <c:lineChart>
        <c:grouping val="standard"/>
        <c:varyColors val="0"/>
        <c:ser>
          <c:idx val="3"/>
          <c:order val="3"/>
          <c:tx>
            <c:strRef>
              <c:f>'72期活動費'!$G$34</c:f>
              <c:strCache>
                <c:ptCount val="1"/>
                <c:pt idx="0">
                  <c:v>対前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'72期活動費'!$C$35:$C$40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'72期活動費'!$G$35:$G$41</c15:sqref>
                  </c15:fullRef>
                </c:ext>
              </c:extLst>
              <c:f>'72期活動費'!$G$35:$G$40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D6-4DCC-9288-E047E5F118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4940544"/>
        <c:axId val="1384960096"/>
      </c:lineChart>
      <c:catAx>
        <c:axId val="138493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2192"/>
        <c:crosses val="autoZero"/>
        <c:auto val="1"/>
        <c:lblAlgn val="ctr"/>
        <c:lblOffset val="100"/>
        <c:noMultiLvlLbl val="0"/>
      </c:catAx>
      <c:valAx>
        <c:axId val="138495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37632"/>
        <c:crosses val="autoZero"/>
        <c:crossBetween val="between"/>
      </c:valAx>
      <c:valAx>
        <c:axId val="138496009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40544"/>
        <c:crosses val="max"/>
        <c:crossBetween val="between"/>
      </c:valAx>
      <c:catAx>
        <c:axId val="1384940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4960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'72期活動費'!$D$34</c:f>
              <c:strCache>
                <c:ptCount val="1"/>
                <c:pt idx="0">
                  <c:v>70期実績</c:v>
                </c:pt>
              </c:strCache>
            </c:strRef>
          </c:tx>
          <c:spPr>
            <a:solidFill>
              <a:srgbClr val="FF33C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('72期活動費'!$C$39,'72期活動費'!$C$41)</c:f>
              <c:strCache>
                <c:ptCount val="2"/>
                <c:pt idx="0">
                  <c:v>技能実習生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'72期活動費'!$D$35:$D$41</c15:sqref>
                  </c15:fullRef>
                </c:ext>
              </c:extLst>
              <c:f>('72期活動費'!$D$39,'72期活動費'!$D$41)</c:f>
              <c:numCache>
                <c:formatCode>#,###,</c:formatCode>
                <c:ptCount val="2"/>
                <c:pt idx="0">
                  <c:v>0</c:v>
                </c:pt>
                <c:pt idx="1">
                  <c:v>53062474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D6-4DCC-9288-E047E5F1187D}"/>
            </c:ext>
          </c:extLst>
        </c:ser>
        <c:ser>
          <c:idx val="1"/>
          <c:order val="1"/>
          <c:tx>
            <c:strRef>
              <c:f>'72期活動費'!$E$34</c:f>
              <c:strCache>
                <c:ptCount val="1"/>
                <c:pt idx="0">
                  <c:v>71期実績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('72期活動費'!$C$39,'72期活動費'!$C$41)</c:f>
              <c:strCache>
                <c:ptCount val="2"/>
                <c:pt idx="0">
                  <c:v>技能実習生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'72期活動費'!$E$35:$E$41</c15:sqref>
                  </c15:fullRef>
                </c:ext>
              </c:extLst>
              <c:f>('72期活動費'!$E$39,'72期活動費'!$E$41)</c:f>
              <c:numCache>
                <c:formatCode>#,###,</c:formatCode>
                <c:ptCount val="2"/>
                <c:pt idx="0">
                  <c:v>19577776</c:v>
                </c:pt>
                <c:pt idx="1">
                  <c:v>123062386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D6-4DCC-9288-E047E5F1187D}"/>
            </c:ext>
          </c:extLst>
        </c:ser>
        <c:ser>
          <c:idx val="2"/>
          <c:order val="2"/>
          <c:tx>
            <c:strRef>
              <c:f>'72期活動費'!$F$34</c:f>
              <c:strCache>
                <c:ptCount val="1"/>
                <c:pt idx="0">
                  <c:v>72期実績</c:v>
                </c:pt>
              </c:strCache>
            </c:strRef>
          </c:tx>
          <c:spPr>
            <a:pattFill prst="lt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('72期活動費'!$C$39,'72期活動費'!$C$41)</c:f>
              <c:strCache>
                <c:ptCount val="2"/>
                <c:pt idx="0">
                  <c:v>技能実習生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'72期活動費'!$F$35:$F$41</c15:sqref>
                  </c15:fullRef>
                </c:ext>
              </c:extLst>
              <c:f>('72期活動費'!$F$39,'72期活動費'!$F$41)</c:f>
              <c:numCache>
                <c:formatCode>#,###,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D6-4DCC-9288-E047E5F118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84937632"/>
        <c:axId val="1384952192"/>
      </c:barChart>
      <c:lineChart>
        <c:grouping val="standard"/>
        <c:varyColors val="0"/>
        <c:ser>
          <c:idx val="3"/>
          <c:order val="3"/>
          <c:tx>
            <c:strRef>
              <c:f>'72期活動費'!$G$34</c:f>
              <c:strCache>
                <c:ptCount val="1"/>
                <c:pt idx="0">
                  <c:v>対前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('72期活動費'!$C$39,'72期活動費'!$C$41)</c:f>
              <c:strCache>
                <c:ptCount val="2"/>
                <c:pt idx="0">
                  <c:v>技能実習生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'72期活動費'!$G$35:$G$41</c15:sqref>
                  </c15:fullRef>
                </c:ext>
              </c:extLst>
              <c:f>('72期活動費'!$G$39,'72期活動費'!$G$41)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D6-4DCC-9288-E047E5F118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4940544"/>
        <c:axId val="1384960096"/>
      </c:lineChart>
      <c:catAx>
        <c:axId val="138493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2192"/>
        <c:crosses val="autoZero"/>
        <c:auto val="1"/>
        <c:lblAlgn val="ctr"/>
        <c:lblOffset val="100"/>
        <c:noMultiLvlLbl val="0"/>
      </c:catAx>
      <c:valAx>
        <c:axId val="138495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37632"/>
        <c:crosses val="autoZero"/>
        <c:crossBetween val="between"/>
      </c:valAx>
      <c:valAx>
        <c:axId val="138496009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40544"/>
        <c:crosses val="max"/>
        <c:crossBetween val="between"/>
      </c:valAx>
      <c:catAx>
        <c:axId val="1384940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4960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'72期活動費'!$D$65</c:f>
              <c:strCache>
                <c:ptCount val="1"/>
                <c:pt idx="0">
                  <c:v>70期実績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'72期活動費'!$C$66:$C$71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'72期活動費'!$D$66:$D$72</c15:sqref>
                  </c15:fullRef>
                </c:ext>
              </c:extLst>
              <c:f>'72期活動費'!$D$66:$D$71</c:f>
              <c:numCache>
                <c:formatCode>#,###,</c:formatCode>
                <c:ptCount val="6"/>
                <c:pt idx="0">
                  <c:v>811017</c:v>
                </c:pt>
                <c:pt idx="1">
                  <c:v>21432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255099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A-420C-9BD5-AE94A20D3D35}"/>
            </c:ext>
          </c:extLst>
        </c:ser>
        <c:ser>
          <c:idx val="1"/>
          <c:order val="1"/>
          <c:tx>
            <c:strRef>
              <c:f>'72期活動費'!$E$65</c:f>
              <c:strCache>
                <c:ptCount val="1"/>
                <c:pt idx="0">
                  <c:v>71期実績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'72期活動費'!$C$66:$C$71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'72期活動費'!$E$66:$E$72</c15:sqref>
                  </c15:fullRef>
                </c:ext>
              </c:extLst>
              <c:f>'72期活動費'!$E$66:$E$71</c:f>
              <c:numCache>
                <c:formatCode>#,###,</c:formatCode>
                <c:ptCount val="6"/>
                <c:pt idx="0">
                  <c:v>485961</c:v>
                </c:pt>
                <c:pt idx="1">
                  <c:v>4066896</c:v>
                </c:pt>
                <c:pt idx="2">
                  <c:v>368500</c:v>
                </c:pt>
                <c:pt idx="3">
                  <c:v>3000</c:v>
                </c:pt>
                <c:pt idx="4">
                  <c:v>0</c:v>
                </c:pt>
                <c:pt idx="5">
                  <c:v>177100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FA-420C-9BD5-AE94A20D3D35}"/>
            </c:ext>
          </c:extLst>
        </c:ser>
        <c:ser>
          <c:idx val="2"/>
          <c:order val="2"/>
          <c:tx>
            <c:strRef>
              <c:f>'72期活動費'!$F$65</c:f>
              <c:strCache>
                <c:ptCount val="1"/>
                <c:pt idx="0">
                  <c:v>72期実績</c:v>
                </c:pt>
              </c:strCache>
            </c:strRef>
          </c:tx>
          <c:spPr>
            <a:pattFill prst="lt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'72期活動費'!$C$66:$C$71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'72期活動費'!$F$66:$F$72</c15:sqref>
                  </c15:fullRef>
                </c:ext>
              </c:extLst>
              <c:f>'72期活動費'!$F$66:$F$71</c:f>
              <c:numCache>
                <c:formatCode>#,###,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FA-420C-9BD5-AE94A20D3D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84953856"/>
        <c:axId val="1384952608"/>
      </c:barChart>
      <c:lineChart>
        <c:grouping val="standard"/>
        <c:varyColors val="0"/>
        <c:ser>
          <c:idx val="3"/>
          <c:order val="3"/>
          <c:tx>
            <c:strRef>
              <c:f>'72期活動費'!$G$65</c:f>
              <c:strCache>
                <c:ptCount val="1"/>
                <c:pt idx="0">
                  <c:v>対前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'72期活動費'!$C$66:$C$71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'72期活動費'!$G$66:$G$72</c15:sqref>
                  </c15:fullRef>
                </c:ext>
              </c:extLst>
              <c:f>'72期活動費'!$G$66:$G$71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FA-420C-9BD5-AE94A20D3D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4938048"/>
        <c:axId val="1384942208"/>
      </c:lineChart>
      <c:catAx>
        <c:axId val="138495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2608"/>
        <c:crosses val="autoZero"/>
        <c:auto val="1"/>
        <c:lblAlgn val="ctr"/>
        <c:lblOffset val="100"/>
        <c:noMultiLvlLbl val="0"/>
      </c:catAx>
      <c:valAx>
        <c:axId val="138495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3856"/>
        <c:crosses val="autoZero"/>
        <c:crossBetween val="between"/>
      </c:valAx>
      <c:valAx>
        <c:axId val="138494220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38048"/>
        <c:crosses val="max"/>
        <c:crossBetween val="between"/>
      </c:valAx>
      <c:catAx>
        <c:axId val="138493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4942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'72期活動費'!$D$65</c:f>
              <c:strCache>
                <c:ptCount val="1"/>
                <c:pt idx="0">
                  <c:v>70期実績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('72期活動費'!$C$69,'72期活動費'!$C$72)</c:f>
              <c:strCache>
                <c:ptCount val="2"/>
                <c:pt idx="0">
                  <c:v>留学生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'72期活動費'!$D$66:$D$72</c15:sqref>
                  </c15:fullRef>
                </c:ext>
              </c:extLst>
              <c:f>('72期活動費'!$D$69,'72期活動費'!$D$72)</c:f>
              <c:numCache>
                <c:formatCode>#,###,</c:formatCode>
                <c:ptCount val="2"/>
                <c:pt idx="0">
                  <c:v>0</c:v>
                </c:pt>
                <c:pt idx="1">
                  <c:v>1087548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A-420C-9BD5-AE94A20D3D35}"/>
            </c:ext>
          </c:extLst>
        </c:ser>
        <c:ser>
          <c:idx val="1"/>
          <c:order val="1"/>
          <c:tx>
            <c:strRef>
              <c:f>'72期活動費'!$E$65</c:f>
              <c:strCache>
                <c:ptCount val="1"/>
                <c:pt idx="0">
                  <c:v>71期実績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('72期活動費'!$C$69,'72期活動費'!$C$72)</c:f>
              <c:strCache>
                <c:ptCount val="2"/>
                <c:pt idx="0">
                  <c:v>留学生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'72期活動費'!$E$66:$E$72</c15:sqref>
                  </c15:fullRef>
                </c:ext>
              </c:extLst>
              <c:f>('72期活動費'!$E$69,'72期活動費'!$E$72)</c:f>
              <c:numCache>
                <c:formatCode>#,###,</c:formatCode>
                <c:ptCount val="2"/>
                <c:pt idx="0">
                  <c:v>3000</c:v>
                </c:pt>
                <c:pt idx="1">
                  <c:v>5101457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FA-420C-9BD5-AE94A20D3D35}"/>
            </c:ext>
          </c:extLst>
        </c:ser>
        <c:ser>
          <c:idx val="2"/>
          <c:order val="2"/>
          <c:tx>
            <c:strRef>
              <c:f>'72期活動費'!$F$65</c:f>
              <c:strCache>
                <c:ptCount val="1"/>
                <c:pt idx="0">
                  <c:v>72期実績</c:v>
                </c:pt>
              </c:strCache>
            </c:strRef>
          </c:tx>
          <c:spPr>
            <a:pattFill prst="lt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('72期活動費'!$C$69,'72期活動費'!$C$72)</c:f>
              <c:strCache>
                <c:ptCount val="2"/>
                <c:pt idx="0">
                  <c:v>留学生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'72期活動費'!$F$66:$F$72</c15:sqref>
                  </c15:fullRef>
                </c:ext>
              </c:extLst>
              <c:f>('72期活動費'!$F$69,'72期活動費'!$F$72)</c:f>
              <c:numCache>
                <c:formatCode>#,###,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FA-420C-9BD5-AE94A20D3D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84953856"/>
        <c:axId val="1384952608"/>
      </c:barChart>
      <c:lineChart>
        <c:grouping val="standard"/>
        <c:varyColors val="0"/>
        <c:ser>
          <c:idx val="3"/>
          <c:order val="3"/>
          <c:tx>
            <c:strRef>
              <c:f>'72期活動費'!$G$65</c:f>
              <c:strCache>
                <c:ptCount val="1"/>
                <c:pt idx="0">
                  <c:v>対前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1.8817206690865368E-2"/>
                  <c:y val="-7.98451775960179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29-4DF0-8448-7E47D1542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('72期活動費'!$C$69,'72期活動費'!$C$72)</c:f>
              <c:strCache>
                <c:ptCount val="2"/>
                <c:pt idx="0">
                  <c:v>留学生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'72期活動費'!$G$66:$G$72</c15:sqref>
                  </c15:fullRef>
                </c:ext>
              </c:extLst>
              <c:f>('72期活動費'!$G$69,'72期活動費'!$G$72)</c:f>
              <c:numCache>
                <c:formatCode>0%</c:formatCode>
                <c:ptCount val="2"/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FA-420C-9BD5-AE94A20D3D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4938048"/>
        <c:axId val="1384942208"/>
      </c:lineChart>
      <c:catAx>
        <c:axId val="138495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2608"/>
        <c:crosses val="autoZero"/>
        <c:auto val="1"/>
        <c:lblAlgn val="ctr"/>
        <c:lblOffset val="100"/>
        <c:noMultiLvlLbl val="0"/>
      </c:catAx>
      <c:valAx>
        <c:axId val="138495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3856"/>
        <c:crosses val="autoZero"/>
        <c:crossBetween val="between"/>
      </c:valAx>
      <c:valAx>
        <c:axId val="138494220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38048"/>
        <c:crosses val="max"/>
        <c:crossBetween val="between"/>
      </c:valAx>
      <c:catAx>
        <c:axId val="138493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4942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採用年間費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graph!$D$11</c:f>
              <c:strCache>
                <c:ptCount val="1"/>
                <c:pt idx="0">
                  <c:v>年間費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graph!$C$12:$C$14</c:f>
              <c:strCache>
                <c:ptCount val="3"/>
                <c:pt idx="0">
                  <c:v>69期実績計</c:v>
                </c:pt>
                <c:pt idx="1">
                  <c:v>70期実績計</c:v>
                </c:pt>
                <c:pt idx="2">
                  <c:v>71期実績計</c:v>
                </c:pt>
              </c:strCache>
            </c:strRef>
          </c:cat>
          <c:val>
            <c:numRef>
              <c:f>graph!$D$12:$D$14</c:f>
              <c:numCache>
                <c:formatCode>#,##0_);[Red]\(#,##0\)</c:formatCode>
                <c:ptCount val="3"/>
                <c:pt idx="0">
                  <c:v>0</c:v>
                </c:pt>
                <c:pt idx="1">
                  <c:v>53062474</c:v>
                </c:pt>
                <c:pt idx="2">
                  <c:v>123062446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A-4B0C-B085-44F69BDEB08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1752677872"/>
        <c:axId val="1752678704"/>
      </c:barChart>
      <c:catAx>
        <c:axId val="175267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52678704"/>
        <c:crosses val="autoZero"/>
        <c:auto val="1"/>
        <c:lblAlgn val="ctr"/>
        <c:lblOffset val="100"/>
        <c:noMultiLvlLbl val="0"/>
      </c:catAx>
      <c:valAx>
        <c:axId val="1752678704"/>
        <c:scaling>
          <c:orientation val="minMax"/>
        </c:scaling>
        <c:delete val="0"/>
        <c:axPos val="l"/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5267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26</xdr:row>
      <xdr:rowOff>78441</xdr:rowOff>
    </xdr:from>
    <xdr:to>
      <xdr:col>5</xdr:col>
      <xdr:colOff>273743</xdr:colOff>
      <xdr:row>30</xdr:row>
      <xdr:rowOff>113660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804147" y="5311588"/>
          <a:ext cx="2122714" cy="707572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</a:rPr>
            <a:t>累計</a:t>
          </a:r>
        </a:p>
      </xdr:txBody>
    </xdr:sp>
    <xdr:clientData/>
  </xdr:twoCellAnchor>
  <xdr:twoCellAnchor>
    <xdr:from>
      <xdr:col>1</xdr:col>
      <xdr:colOff>683559</xdr:colOff>
      <xdr:row>56</xdr:row>
      <xdr:rowOff>67235</xdr:rowOff>
    </xdr:from>
    <xdr:to>
      <xdr:col>5</xdr:col>
      <xdr:colOff>262537</xdr:colOff>
      <xdr:row>60</xdr:row>
      <xdr:rowOff>102454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792941" y="8998323"/>
          <a:ext cx="2122714" cy="707572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</a:rPr>
            <a:t>単月</a:t>
          </a:r>
        </a:p>
      </xdr:txBody>
    </xdr:sp>
    <xdr:clientData/>
  </xdr:twoCellAnchor>
  <xdr:twoCellAnchor>
    <xdr:from>
      <xdr:col>15</xdr:col>
      <xdr:colOff>408216</xdr:colOff>
      <xdr:row>27</xdr:row>
      <xdr:rowOff>36737</xdr:rowOff>
    </xdr:from>
    <xdr:to>
      <xdr:col>26</xdr:col>
      <xdr:colOff>571501</xdr:colOff>
      <xdr:row>54</xdr:row>
      <xdr:rowOff>13607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605516</xdr:colOff>
      <xdr:row>27</xdr:row>
      <xdr:rowOff>36737</xdr:rowOff>
    </xdr:from>
    <xdr:to>
      <xdr:col>14</xdr:col>
      <xdr:colOff>244927</xdr:colOff>
      <xdr:row>54</xdr:row>
      <xdr:rowOff>13607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435429</xdr:colOff>
      <xdr:row>56</xdr:row>
      <xdr:rowOff>104774</xdr:rowOff>
    </xdr:from>
    <xdr:to>
      <xdr:col>26</xdr:col>
      <xdr:colOff>557892</xdr:colOff>
      <xdr:row>82</xdr:row>
      <xdr:rowOff>136071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612322</xdr:colOff>
      <xdr:row>56</xdr:row>
      <xdr:rowOff>104774</xdr:rowOff>
    </xdr:from>
    <xdr:to>
      <xdr:col>14</xdr:col>
      <xdr:colOff>231321</xdr:colOff>
      <xdr:row>82</xdr:row>
      <xdr:rowOff>136071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67235</xdr:colOff>
      <xdr:row>11</xdr:row>
      <xdr:rowOff>152079</xdr:rowOff>
    </xdr:from>
    <xdr:to>
      <xdr:col>21</xdr:col>
      <xdr:colOff>347382</xdr:colOff>
      <xdr:row>12</xdr:row>
      <xdr:rowOff>107255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67056" y="2737436"/>
          <a:ext cx="280147" cy="17289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1592580</xdr:colOff>
          <xdr:row>3</xdr:row>
          <xdr:rowOff>175260</xdr:rowOff>
        </xdr:from>
        <xdr:to>
          <xdr:col>4</xdr:col>
          <xdr:colOff>2865120</xdr:colOff>
          <xdr:row>5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5775960</xdr:colOff>
          <xdr:row>4</xdr:row>
          <xdr:rowOff>7620</xdr:rowOff>
        </xdr:from>
        <xdr:to>
          <xdr:col>4</xdr:col>
          <xdr:colOff>7002780</xdr:colOff>
          <xdr:row>5</xdr:row>
          <xdr:rowOff>167640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全体インポート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2964180</xdr:colOff>
          <xdr:row>4</xdr:row>
          <xdr:rowOff>0</xdr:rowOff>
        </xdr:from>
        <xdr:to>
          <xdr:col>4</xdr:col>
          <xdr:colOff>4229100</xdr:colOff>
          <xdr:row>5</xdr:row>
          <xdr:rowOff>190500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ファイルを開く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7216140</xdr:colOff>
          <xdr:row>3</xdr:row>
          <xdr:rowOff>190500</xdr:rowOff>
        </xdr:from>
        <xdr:to>
          <xdr:col>4</xdr:col>
          <xdr:colOff>8389620</xdr:colOff>
          <xdr:row>5</xdr:row>
          <xdr:rowOff>160020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一部インポート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500061</xdr:colOff>
      <xdr:row>3</xdr:row>
      <xdr:rowOff>114300</xdr:rowOff>
    </xdr:from>
    <xdr:to>
      <xdr:col>12</xdr:col>
      <xdr:colOff>123824</xdr:colOff>
      <xdr:row>23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6EA1B-692A-448B-93C2-67F1B6C10F1B}">
  <sheetPr codeName="Sheet1">
    <tabColor rgb="FFFFFF00"/>
  </sheetPr>
  <dimension ref="A1:R88"/>
  <sheetViews>
    <sheetView zoomScale="85" zoomScaleNormal="85" workbookViewId="0">
      <pane xSplit="3" ySplit="2" topLeftCell="D3" activePane="bottomRight" state="frozen"/>
      <selection activeCell="H37" sqref="H37"/>
      <selection pane="topRight" activeCell="H37" sqref="H37"/>
      <selection pane="bottomLeft" activeCell="H37" sqref="H37"/>
      <selection pane="bottomRight" activeCell="D3" sqref="D3"/>
    </sheetView>
  </sheetViews>
  <sheetFormatPr defaultColWidth="8.77734375" defaultRowHeight="13.2"/>
  <cols>
    <col min="1" max="1" width="8.77734375" style="7"/>
    <col min="2" max="2" width="14.6640625" style="7" customWidth="1"/>
    <col min="3" max="3" width="9.109375" style="24" bestFit="1" customWidth="1"/>
    <col min="4" max="16" width="12.33203125" style="7" customWidth="1"/>
    <col min="17" max="17" width="8.77734375" style="7"/>
    <col min="18" max="18" width="11.44140625" style="7" bestFit="1" customWidth="1"/>
    <col min="19" max="16384" width="8.77734375" style="7"/>
  </cols>
  <sheetData>
    <row r="1" spans="1:18" ht="21.75" customHeight="1" thickBot="1">
      <c r="B1" s="167" t="s">
        <v>11</v>
      </c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6"/>
    </row>
    <row r="2" spans="1:18" ht="24.75" customHeight="1" thickBot="1">
      <c r="A2" s="51" t="s">
        <v>42</v>
      </c>
      <c r="B2" s="48" t="s">
        <v>9</v>
      </c>
      <c r="C2" s="49"/>
      <c r="D2" s="50" t="s">
        <v>12</v>
      </c>
      <c r="E2" s="50" t="s">
        <v>13</v>
      </c>
      <c r="F2" s="50" t="s">
        <v>6</v>
      </c>
      <c r="G2" s="50" t="s">
        <v>7</v>
      </c>
      <c r="H2" s="50" t="s">
        <v>8</v>
      </c>
      <c r="I2" s="50" t="s">
        <v>14</v>
      </c>
      <c r="J2" s="50" t="s">
        <v>0</v>
      </c>
      <c r="K2" s="50" t="s">
        <v>1</v>
      </c>
      <c r="L2" s="50" t="s">
        <v>2</v>
      </c>
      <c r="M2" s="50" t="s">
        <v>3</v>
      </c>
      <c r="N2" s="50" t="s">
        <v>4</v>
      </c>
      <c r="O2" s="50" t="s">
        <v>5</v>
      </c>
      <c r="P2" s="8" t="s">
        <v>19</v>
      </c>
    </row>
    <row r="3" spans="1:18" ht="16.95" customHeight="1">
      <c r="A3" s="155" t="s">
        <v>43</v>
      </c>
      <c r="B3" s="157" t="s">
        <v>52</v>
      </c>
      <c r="C3" s="26" t="s">
        <v>41</v>
      </c>
      <c r="D3" s="52">
        <f>SUMIFS('72期 元データ'!$F:$F,'72期 元データ'!$B:$B,採用費管理表!$A$3,'72期 元データ'!$D:$D,採用費管理表!$B3,'72期 元データ'!$A:$A,"&gt;=2023/4/1",'72期 元データ'!$A:$A,"&lt;=2023/4/30")</f>
        <v>0</v>
      </c>
      <c r="E3" s="52">
        <f>SUMIFS('72期 元データ'!$F:$F,'72期 元データ'!$B:$B,採用費管理表!$A$3,'72期 元データ'!$D:$D,採用費管理表!$B3,'72期 元データ'!$A:$A,"&gt;=2023/5/1",'72期 元データ'!$A:$A,"&lt;=2023/5/31")</f>
        <v>0</v>
      </c>
      <c r="F3" s="52">
        <f>SUMIFS('72期 元データ'!$F:$F,'72期 元データ'!$B:$B,採用費管理表!$A$3,'72期 元データ'!$D:$D,採用費管理表!$B3,'72期 元データ'!$A:$A,"&gt;=2023/6/1",'72期 元データ'!$A:$A,"&lt;=2023/6/30")</f>
        <v>0</v>
      </c>
      <c r="G3" s="52">
        <f>SUMIFS('72期 元データ'!$F:$F,'72期 元データ'!$B:$B,採用費管理表!$A$3,'72期 元データ'!$D:$D,採用費管理表!$B3,'72期 元データ'!$A:$A,"&gt;=2023/7/1",'72期 元データ'!$A:$A,"&lt;=2023/7/31")</f>
        <v>0</v>
      </c>
      <c r="H3" s="52">
        <f>SUMIFS('72期 元データ'!$F:$F,'72期 元データ'!$B:$B,採用費管理表!$A$3,'72期 元データ'!$D:$D,採用費管理表!$B3,'72期 元データ'!$A:$A,"&gt;=2023/8/1",'72期 元データ'!$A:$A,"&lt;=2023/8/31")</f>
        <v>0</v>
      </c>
      <c r="I3" s="52">
        <f>SUMIFS('72期 元データ'!$F:$F,'72期 元データ'!$B:$B,採用費管理表!$A$3,'72期 元データ'!$D:$D,採用費管理表!$B3,'72期 元データ'!$A:$A,"&gt;=2023/9/1",'72期 元データ'!$A:$A,"&lt;=2023/9/30")</f>
        <v>0</v>
      </c>
      <c r="J3" s="52">
        <f>SUMIFS('72期 元データ'!$F:$F,'72期 元データ'!$B:$B,採用費管理表!$A$3,'72期 元データ'!$D:$D,採用費管理表!$B3,'72期 元データ'!$A:$A,"&gt;=2023/10/1",'72期 元データ'!$A:$A,"&lt;=2023/10/31")</f>
        <v>0</v>
      </c>
      <c r="K3" s="52">
        <f>SUMIFS('72期 元データ'!$F:$F,'72期 元データ'!$B:$B,採用費管理表!$A$3,'72期 元データ'!$D:$D,採用費管理表!$B3,'72期 元データ'!$A:$A,"&gt;=2023/11/1",'72期 元データ'!$A:$A,"&lt;=2023/11/30")</f>
        <v>0</v>
      </c>
      <c r="L3" s="52">
        <f>SUMIFS('72期 元データ'!$F:$F,'72期 元データ'!$B:$B,採用費管理表!$A$3,'72期 元データ'!$D:$D,採用費管理表!$B3,'72期 元データ'!$A:$A,"&gt;=2023/12/1",'72期 元データ'!$A:$A,"&lt;=2023/12/31")</f>
        <v>0</v>
      </c>
      <c r="M3" s="52">
        <f>SUMIFS('72期 元データ'!$F:$F,'72期 元データ'!$B:$B,採用費管理表!$A$3,'72期 元データ'!$D:$D,採用費管理表!$B3,'72期 元データ'!$A:$A,"&gt;=2024/1/1",'72期 元データ'!$A:$A,"&lt;=2024/1/31")</f>
        <v>0</v>
      </c>
      <c r="N3" s="52">
        <f>SUMIFS('72期 元データ'!$F:$F,'72期 元データ'!$B:$B,採用費管理表!$A$3,'72期 元データ'!$D:$D,採用費管理表!$B3,'72期 元データ'!$A:$A,"&gt;=2024/2/1",'72期 元データ'!$A:$A,"&lt;=2024/2/29")</f>
        <v>0</v>
      </c>
      <c r="O3" s="52">
        <f>SUMIFS('72期 元データ'!$F:$F,'72期 元データ'!$B:$B,採用費管理表!$A$3,'72期 元データ'!$D:$D,採用費管理表!$B3,'72期 元データ'!$A:$A,"&gt;=2024/3/1",'72期 元データ'!$A:$A,"&lt;=2024/3/31")</f>
        <v>0</v>
      </c>
      <c r="P3" s="47">
        <f t="shared" ref="P3:P8" si="0">SUM(D3:O3)</f>
        <v>0</v>
      </c>
    </row>
    <row r="4" spans="1:18" ht="17.25" customHeight="1">
      <c r="A4" s="156"/>
      <c r="B4" s="166"/>
      <c r="C4" s="44" t="s">
        <v>31</v>
      </c>
      <c r="D4" s="45">
        <v>0</v>
      </c>
      <c r="E4" s="45">
        <v>0</v>
      </c>
      <c r="F4" s="45">
        <v>0</v>
      </c>
      <c r="G4" s="45">
        <v>0</v>
      </c>
      <c r="H4" s="45">
        <v>836000</v>
      </c>
      <c r="I4" s="45">
        <v>0</v>
      </c>
      <c r="J4" s="45">
        <v>4543000</v>
      </c>
      <c r="K4" s="45">
        <v>0</v>
      </c>
      <c r="L4" s="45">
        <v>0</v>
      </c>
      <c r="M4" s="45">
        <v>0</v>
      </c>
      <c r="N4" s="45">
        <v>0</v>
      </c>
      <c r="O4" s="45">
        <v>275000</v>
      </c>
      <c r="P4" s="46">
        <f t="shared" si="0"/>
        <v>5654000</v>
      </c>
    </row>
    <row r="5" spans="1:18" ht="17.25" customHeight="1">
      <c r="A5" s="156"/>
      <c r="B5" s="166"/>
      <c r="C5" s="25" t="s">
        <v>16</v>
      </c>
      <c r="D5" s="12">
        <v>0</v>
      </c>
      <c r="E5" s="12">
        <v>77000</v>
      </c>
      <c r="F5" s="12">
        <v>209000</v>
      </c>
      <c r="G5" s="12">
        <v>2211000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55000</v>
      </c>
      <c r="N5" s="12">
        <v>0</v>
      </c>
      <c r="O5" s="12">
        <v>99000</v>
      </c>
      <c r="P5" s="13">
        <f t="shared" si="0"/>
        <v>2651000</v>
      </c>
    </row>
    <row r="6" spans="1:18" ht="16.95" customHeight="1">
      <c r="A6" s="156"/>
      <c r="B6" s="166" t="s">
        <v>53</v>
      </c>
      <c r="C6" s="26" t="s">
        <v>41</v>
      </c>
      <c r="D6" s="52">
        <f>SUMIFS('72期 元データ'!$F:$F,'72期 元データ'!$B:$B,採用費管理表!$A$3,'72期 元データ'!$D:$D,採用費管理表!$B6,'72期 元データ'!$A:$A,"&gt;=2023/4/1",'72期 元データ'!$A:$A,"&lt;=2023/4/30")</f>
        <v>0</v>
      </c>
      <c r="E6" s="52">
        <f>SUMIFS('72期 元データ'!$F:$F,'72期 元データ'!$B:$B,採用費管理表!$A$3,'72期 元データ'!$D:$D,採用費管理表!$B6,'72期 元データ'!$A:$A,"&gt;=2023/5/1",'72期 元データ'!$A:$A,"&lt;=2023/5/31")</f>
        <v>0</v>
      </c>
      <c r="F6" s="52">
        <f>SUMIFS('72期 元データ'!$F:$F,'72期 元データ'!$B:$B,採用費管理表!$A$3,'72期 元データ'!$D:$D,採用費管理表!$B6,'72期 元データ'!$A:$A,"&gt;=2023/6/1",'72期 元データ'!$A:$A,"&lt;=2023/6/30")</f>
        <v>0</v>
      </c>
      <c r="G6" s="52">
        <f>SUMIFS('72期 元データ'!$F:$F,'72期 元データ'!$B:$B,採用費管理表!$A$3,'72期 元データ'!$D:$D,採用費管理表!$B6,'72期 元データ'!$A:$A,"&gt;=2023/7/1",'72期 元データ'!$A:$A,"&lt;=2023/7/31")</f>
        <v>0</v>
      </c>
      <c r="H6" s="52">
        <f>SUMIFS('72期 元データ'!$F:$F,'72期 元データ'!$B:$B,採用費管理表!$A$3,'72期 元データ'!$D:$D,採用費管理表!$B6,'72期 元データ'!$A:$A,"&gt;=2023/8/1",'72期 元データ'!$A:$A,"&lt;=2023/8/31")</f>
        <v>0</v>
      </c>
      <c r="I6" s="52">
        <f>SUMIFS('72期 元データ'!$F:$F,'72期 元データ'!$B:$B,採用費管理表!$A$3,'72期 元データ'!$D:$D,採用費管理表!$B6,'72期 元データ'!$A:$A,"&gt;=2023/9/1",'72期 元データ'!$A:$A,"&lt;=2023/9/30")</f>
        <v>0</v>
      </c>
      <c r="J6" s="52">
        <f>SUMIFS('72期 元データ'!$F:$F,'72期 元データ'!$B:$B,採用費管理表!$A$3,'72期 元データ'!$D:$D,採用費管理表!$B6,'72期 元データ'!$A:$A,"&gt;=2023/10/1",'72期 元データ'!$A:$A,"&lt;=2023/10/31")</f>
        <v>0</v>
      </c>
      <c r="K6" s="52">
        <f>SUMIFS('72期 元データ'!$F:$F,'72期 元データ'!$B:$B,採用費管理表!$A$3,'72期 元データ'!$D:$D,採用費管理表!$B6,'72期 元データ'!$A:$A,"&gt;=2023/11/1",'72期 元データ'!$A:$A,"&lt;=2023/11/30")</f>
        <v>0</v>
      </c>
      <c r="L6" s="52">
        <f>SUMIFS('72期 元データ'!$F:$F,'72期 元データ'!$B:$B,採用費管理表!$A$3,'72期 元データ'!$D:$D,採用費管理表!$B6,'72期 元データ'!$A:$A,"&gt;=2023/12/1",'72期 元データ'!$A:$A,"&lt;=2023/12/31")</f>
        <v>0</v>
      </c>
      <c r="M6" s="52">
        <f>SUMIFS('72期 元データ'!$F:$F,'72期 元データ'!$B:$B,採用費管理表!$A$3,'72期 元データ'!$D:$D,採用費管理表!$B6,'72期 元データ'!$A:$A,"&gt;=2024/1/1",'72期 元データ'!$A:$A,"&lt;=2024/1/31")</f>
        <v>0</v>
      </c>
      <c r="N6" s="52">
        <f>SUMIFS('72期 元データ'!$F:$F,'72期 元データ'!$B:$B,採用費管理表!$A$3,'72期 元データ'!$D:$D,採用費管理表!$B6,'72期 元データ'!$A:$A,"&gt;=2024/2/1",'72期 元データ'!$A:$A,"&lt;=2024/2/29")</f>
        <v>0</v>
      </c>
      <c r="O6" s="52">
        <f>SUMIFS('72期 元データ'!$F:$F,'72期 元データ'!$B:$B,採用費管理表!$A$3,'72期 元データ'!$D:$D,採用費管理表!$B6,'72期 元データ'!$A:$A,"&gt;=2024/3/1",'72期 元データ'!$A:$A,"&lt;=2024/3/31")</f>
        <v>0</v>
      </c>
      <c r="P6" s="43">
        <f t="shared" si="0"/>
        <v>0</v>
      </c>
    </row>
    <row r="7" spans="1:18" ht="18" customHeight="1">
      <c r="A7" s="156"/>
      <c r="B7" s="166"/>
      <c r="C7" s="44" t="s">
        <v>31</v>
      </c>
      <c r="D7" s="45">
        <v>165919</v>
      </c>
      <c r="E7" s="45">
        <v>47889</v>
      </c>
      <c r="F7" s="45">
        <v>211986</v>
      </c>
      <c r="G7" s="45">
        <v>409302</v>
      </c>
      <c r="H7" s="45">
        <v>267713</v>
      </c>
      <c r="I7" s="45">
        <v>68374</v>
      </c>
      <c r="J7" s="45">
        <v>305030</v>
      </c>
      <c r="K7" s="45">
        <v>127094</v>
      </c>
      <c r="L7" s="45">
        <v>257581</v>
      </c>
      <c r="M7" s="45">
        <v>191146</v>
      </c>
      <c r="N7" s="45">
        <v>354818</v>
      </c>
      <c r="O7" s="45">
        <v>188046</v>
      </c>
      <c r="P7" s="46">
        <f t="shared" si="0"/>
        <v>2594898</v>
      </c>
      <c r="R7"/>
    </row>
    <row r="8" spans="1:18" ht="17.25" customHeight="1">
      <c r="A8" s="156"/>
      <c r="B8" s="166"/>
      <c r="C8" s="25" t="s">
        <v>16</v>
      </c>
      <c r="D8" s="12">
        <v>127753</v>
      </c>
      <c r="E8" s="12">
        <v>52068</v>
      </c>
      <c r="F8" s="12">
        <v>40498</v>
      </c>
      <c r="G8" s="12">
        <v>32592</v>
      </c>
      <c r="H8" s="12">
        <v>200559</v>
      </c>
      <c r="I8" s="12">
        <v>55686</v>
      </c>
      <c r="J8" s="12">
        <v>72346</v>
      </c>
      <c r="K8" s="12">
        <v>6480</v>
      </c>
      <c r="L8" s="12">
        <v>34455</v>
      </c>
      <c r="M8" s="12">
        <v>28514</v>
      </c>
      <c r="N8" s="12">
        <v>16602</v>
      </c>
      <c r="O8" s="12">
        <v>37017</v>
      </c>
      <c r="P8" s="13">
        <f t="shared" si="0"/>
        <v>704570</v>
      </c>
      <c r="R8"/>
    </row>
    <row r="9" spans="1:18" ht="17.25" customHeight="1">
      <c r="A9" s="156"/>
      <c r="B9" s="166" t="s">
        <v>50</v>
      </c>
      <c r="C9" s="26" t="s">
        <v>41</v>
      </c>
      <c r="D9" s="52">
        <f>SUMIFS('72期 元データ'!$F:$F,'72期 元データ'!$B:$B,採用費管理表!$A$3,'72期 元データ'!$D:$D,採用費管理表!$B9,'72期 元データ'!$A:$A,"&gt;=2023/4/1",'72期 元データ'!$A:$A,"&lt;=2023/4/30")</f>
        <v>0</v>
      </c>
      <c r="E9" s="52">
        <f>SUMIFS('72期 元データ'!$F:$F,'72期 元データ'!$B:$B,採用費管理表!$A$3,'72期 元データ'!$D:$D,採用費管理表!$B9,'72期 元データ'!$A:$A,"&gt;=2023/5/1",'72期 元データ'!$A:$A,"&lt;=2023/5/31")</f>
        <v>0</v>
      </c>
      <c r="F9" s="52">
        <f>SUMIFS('72期 元データ'!$F:$F,'72期 元データ'!$B:$B,採用費管理表!$A$3,'72期 元データ'!$D:$D,採用費管理表!$B9,'72期 元データ'!$A:$A,"&gt;=2023/6/1",'72期 元データ'!$A:$A,"&lt;=2023/6/30")</f>
        <v>0</v>
      </c>
      <c r="G9" s="52">
        <f>SUMIFS('72期 元データ'!$F:$F,'72期 元データ'!$B:$B,採用費管理表!$A$3,'72期 元データ'!$D:$D,採用費管理表!$B9,'72期 元データ'!$A:$A,"&gt;=2023/7/1",'72期 元データ'!$A:$A,"&lt;=2023/7/31")</f>
        <v>0</v>
      </c>
      <c r="H9" s="52">
        <f>SUMIFS('72期 元データ'!$F:$F,'72期 元データ'!$B:$B,採用費管理表!$A$3,'72期 元データ'!$D:$D,採用費管理表!$B9,'72期 元データ'!$A:$A,"&gt;=2023/8/1",'72期 元データ'!$A:$A,"&lt;=2023/8/31")</f>
        <v>0</v>
      </c>
      <c r="I9" s="52">
        <f>SUMIFS('72期 元データ'!$F:$F,'72期 元データ'!$B:$B,採用費管理表!$A$3,'72期 元データ'!$D:$D,採用費管理表!$B9,'72期 元データ'!$A:$A,"&gt;=2023/9/1",'72期 元データ'!$A:$A,"&lt;=2023/9/30")</f>
        <v>0</v>
      </c>
      <c r="J9" s="52">
        <f>SUMIFS('72期 元データ'!$F:$F,'72期 元データ'!$B:$B,採用費管理表!$A$3,'72期 元データ'!$D:$D,採用費管理表!$B9,'72期 元データ'!$A:$A,"&gt;=2023/10/1",'72期 元データ'!$A:$A,"&lt;=2023/10/31")</f>
        <v>0</v>
      </c>
      <c r="K9" s="52">
        <f>SUMIFS('72期 元データ'!$F:$F,'72期 元データ'!$B:$B,採用費管理表!$A$3,'72期 元データ'!$D:$D,採用費管理表!$B9,'72期 元データ'!$A:$A,"&gt;=2023/11/1",'72期 元データ'!$A:$A,"&lt;=2023/11/30")</f>
        <v>0</v>
      </c>
      <c r="L9" s="52">
        <f>SUMIFS('72期 元データ'!$F:$F,'72期 元データ'!$B:$B,採用費管理表!$A$3,'72期 元データ'!$D:$D,採用費管理表!$B9,'72期 元データ'!$A:$A,"&gt;=2023/12/1",'72期 元データ'!$A:$A,"&lt;=2023/12/31")</f>
        <v>0</v>
      </c>
      <c r="M9" s="52">
        <f>SUMIFS('72期 元データ'!$F:$F,'72期 元データ'!$B:$B,採用費管理表!$A$3,'72期 元データ'!$D:$D,採用費管理表!$B9,'72期 元データ'!$A:$A,"&gt;=2024/1/1",'72期 元データ'!$A:$A,"&lt;=2024/1/31")</f>
        <v>0</v>
      </c>
      <c r="N9" s="52">
        <f>SUMIFS('72期 元データ'!$F:$F,'72期 元データ'!$B:$B,採用費管理表!$A$3,'72期 元データ'!$D:$D,採用費管理表!$B9,'72期 元データ'!$A:$A,"&gt;=2024/2/1",'72期 元データ'!$A:$A,"&lt;=2024/2/29")</f>
        <v>0</v>
      </c>
      <c r="O9" s="52">
        <f>SUMIFS('72期 元データ'!$F:$F,'72期 元データ'!$B:$B,採用費管理表!$A$3,'72期 元データ'!$D:$D,採用費管理表!$B9,'72期 元データ'!$A:$A,"&gt;=2024/3/1",'72期 元データ'!$A:$A,"&lt;=2024/3/31")</f>
        <v>0</v>
      </c>
      <c r="P9" s="43">
        <f t="shared" ref="P9:P76" si="1">SUM(D9:O9)</f>
        <v>0</v>
      </c>
      <c r="R9"/>
    </row>
    <row r="10" spans="1:18" ht="17.25" customHeight="1">
      <c r="A10" s="156"/>
      <c r="B10" s="166"/>
      <c r="C10" s="44" t="s">
        <v>31</v>
      </c>
      <c r="D10" s="45">
        <v>0</v>
      </c>
      <c r="E10" s="45">
        <v>0</v>
      </c>
      <c r="F10" s="45">
        <v>0</v>
      </c>
      <c r="G10" s="45">
        <v>0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M10" s="45">
        <v>0</v>
      </c>
      <c r="N10" s="45">
        <v>0</v>
      </c>
      <c r="O10" s="45">
        <v>0</v>
      </c>
      <c r="P10" s="46">
        <f t="shared" si="1"/>
        <v>0</v>
      </c>
      <c r="R10"/>
    </row>
    <row r="11" spans="1:18" ht="17.25" customHeight="1">
      <c r="A11" s="156"/>
      <c r="B11" s="166"/>
      <c r="C11" s="25" t="s">
        <v>16</v>
      </c>
      <c r="D11" s="12">
        <v>668225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3">
        <f t="shared" si="1"/>
        <v>668225</v>
      </c>
      <c r="R11"/>
    </row>
    <row r="12" spans="1:18" ht="17.25" customHeight="1">
      <c r="A12" s="156"/>
      <c r="B12" s="166" t="s">
        <v>49</v>
      </c>
      <c r="C12" s="26" t="s">
        <v>41</v>
      </c>
      <c r="D12" s="52">
        <f>SUMIFS('72期 元データ'!$F:$F,'72期 元データ'!$B:$B,採用費管理表!$A$3,'72期 元データ'!$D:$D,採用費管理表!$B12,'72期 元データ'!$A:$A,"&gt;=2023/4/1",'72期 元データ'!$A:$A,"&lt;=2023/4/30")</f>
        <v>0</v>
      </c>
      <c r="E12" s="52">
        <f>SUMIFS('72期 元データ'!$F:$F,'72期 元データ'!$B:$B,採用費管理表!$A$3,'72期 元データ'!$D:$D,採用費管理表!$B12,'72期 元データ'!$A:$A,"&gt;=2023/5/1",'72期 元データ'!$A:$A,"&lt;=2023/5/31")</f>
        <v>0</v>
      </c>
      <c r="F12" s="52">
        <f>SUMIFS('72期 元データ'!$F:$F,'72期 元データ'!$B:$B,採用費管理表!$A$3,'72期 元データ'!$D:$D,採用費管理表!$B12,'72期 元データ'!$A:$A,"&gt;=2023/6/1",'72期 元データ'!$A:$A,"&lt;=2023/6/30")</f>
        <v>0</v>
      </c>
      <c r="G12" s="52">
        <f>SUMIFS('72期 元データ'!$F:$F,'72期 元データ'!$B:$B,採用費管理表!$A$3,'72期 元データ'!$D:$D,採用費管理表!$B12,'72期 元データ'!$A:$A,"&gt;=2023/7/1",'72期 元データ'!$A:$A,"&lt;=2023/7/31")</f>
        <v>0</v>
      </c>
      <c r="H12" s="52">
        <f>SUMIFS('72期 元データ'!$F:$F,'72期 元データ'!$B:$B,採用費管理表!$A$3,'72期 元データ'!$D:$D,採用費管理表!$B12,'72期 元データ'!$A:$A,"&gt;=2023/8/1",'72期 元データ'!$A:$A,"&lt;=2023/8/31")</f>
        <v>0</v>
      </c>
      <c r="I12" s="52">
        <f>SUMIFS('72期 元データ'!$F:$F,'72期 元データ'!$B:$B,採用費管理表!$A$3,'72期 元データ'!$D:$D,採用費管理表!$B12,'72期 元データ'!$A:$A,"&gt;=2023/9/1",'72期 元データ'!$A:$A,"&lt;=2023/9/30")</f>
        <v>0</v>
      </c>
      <c r="J12" s="52">
        <f>SUMIFS('72期 元データ'!$F:$F,'72期 元データ'!$B:$B,採用費管理表!$A$3,'72期 元データ'!$D:$D,採用費管理表!$B12,'72期 元データ'!$A:$A,"&gt;=2023/10/1",'72期 元データ'!$A:$A,"&lt;=2023/10/31")</f>
        <v>0</v>
      </c>
      <c r="K12" s="52">
        <f>SUMIFS('72期 元データ'!$F:$F,'72期 元データ'!$B:$B,採用費管理表!$A$3,'72期 元データ'!$D:$D,採用費管理表!$B12,'72期 元データ'!$A:$A,"&gt;=2023/11/1",'72期 元データ'!$A:$A,"&lt;=2023/11/30")</f>
        <v>0</v>
      </c>
      <c r="L12" s="52">
        <f>SUMIFS('72期 元データ'!$F:$F,'72期 元データ'!$B:$B,採用費管理表!$A$3,'72期 元データ'!$D:$D,採用費管理表!$B12,'72期 元データ'!$A:$A,"&gt;=2023/12/1",'72期 元データ'!$A:$A,"&lt;=2023/12/31")</f>
        <v>0</v>
      </c>
      <c r="M12" s="52">
        <f>SUMIFS('72期 元データ'!$F:$F,'72期 元データ'!$B:$B,採用費管理表!$A$3,'72期 元データ'!$D:$D,採用費管理表!$B12,'72期 元データ'!$A:$A,"&gt;=2024/1/1",'72期 元データ'!$A:$A,"&lt;=2024/1/31")</f>
        <v>0</v>
      </c>
      <c r="N12" s="52">
        <f>SUMIFS('72期 元データ'!$F:$F,'72期 元データ'!$B:$B,採用費管理表!$A$3,'72期 元データ'!$D:$D,採用費管理表!$B12,'72期 元データ'!$A:$A,"&gt;=2024/2/1",'72期 元データ'!$A:$A,"&lt;=2024/2/29")</f>
        <v>0</v>
      </c>
      <c r="O12" s="52">
        <f>SUMIFS('72期 元データ'!$F:$F,'72期 元データ'!$B:$B,採用費管理表!$A$3,'72期 元データ'!$D:$D,採用費管理表!$B12,'72期 元データ'!$A:$A,"&gt;=2024/3/1",'72期 元データ'!$A:$A,"&lt;=2024/3/31")</f>
        <v>0</v>
      </c>
      <c r="P12" s="43">
        <f t="shared" si="1"/>
        <v>0</v>
      </c>
      <c r="R12"/>
    </row>
    <row r="13" spans="1:18" ht="17.25" customHeight="1">
      <c r="A13" s="156"/>
      <c r="B13" s="166"/>
      <c r="C13" s="44" t="s">
        <v>31</v>
      </c>
      <c r="D13" s="45">
        <v>320042</v>
      </c>
      <c r="E13" s="45">
        <v>788370</v>
      </c>
      <c r="F13" s="45">
        <v>866575</v>
      </c>
      <c r="G13" s="45">
        <v>455312</v>
      </c>
      <c r="H13" s="45">
        <v>499834</v>
      </c>
      <c r="I13" s="45">
        <v>102997</v>
      </c>
      <c r="J13" s="45">
        <v>346178</v>
      </c>
      <c r="K13" s="45">
        <v>82718</v>
      </c>
      <c r="L13" s="45">
        <v>225277</v>
      </c>
      <c r="M13" s="45">
        <v>41282</v>
      </c>
      <c r="N13" s="45">
        <v>184754</v>
      </c>
      <c r="O13" s="45">
        <v>191272</v>
      </c>
      <c r="P13" s="46">
        <f t="shared" si="1"/>
        <v>4104611</v>
      </c>
      <c r="R13"/>
    </row>
    <row r="14" spans="1:18" ht="17.25" customHeight="1">
      <c r="A14" s="156"/>
      <c r="B14" s="166"/>
      <c r="C14" s="25" t="s">
        <v>16</v>
      </c>
      <c r="D14" s="12">
        <v>15039</v>
      </c>
      <c r="E14" s="12">
        <v>26844</v>
      </c>
      <c r="F14" s="12">
        <v>129630</v>
      </c>
      <c r="G14" s="12">
        <v>8002</v>
      </c>
      <c r="H14" s="12">
        <v>26316</v>
      </c>
      <c r="I14" s="12">
        <v>68370</v>
      </c>
      <c r="J14" s="12">
        <v>81489</v>
      </c>
      <c r="K14" s="12">
        <v>11200</v>
      </c>
      <c r="L14" s="12">
        <v>23691</v>
      </c>
      <c r="M14" s="12">
        <v>20296</v>
      </c>
      <c r="N14" s="12">
        <v>14142</v>
      </c>
      <c r="O14" s="12">
        <v>66838</v>
      </c>
      <c r="P14" s="13">
        <f t="shared" si="1"/>
        <v>491857</v>
      </c>
      <c r="R14"/>
    </row>
    <row r="15" spans="1:18" ht="17.25" customHeight="1">
      <c r="A15" s="156"/>
      <c r="B15" s="166" t="s">
        <v>55</v>
      </c>
      <c r="C15" s="26" t="s">
        <v>41</v>
      </c>
      <c r="D15" s="52">
        <f>SUMIFS('72期 元データ'!$F:$F,'72期 元データ'!$B:$B,採用費管理表!$A$3,'72期 元データ'!$D:$D,採用費管理表!$B15,'72期 元データ'!$A:$A,"&gt;=2023/4/1",'72期 元データ'!$A:$A,"&lt;=2023/4/30")</f>
        <v>0</v>
      </c>
      <c r="E15" s="52">
        <f>SUMIFS('72期 元データ'!$F:$F,'72期 元データ'!$B:$B,採用費管理表!$A$3,'72期 元データ'!$D:$D,採用費管理表!$B15,'72期 元データ'!$A:$A,"&gt;=2023/5/1",'72期 元データ'!$A:$A,"&lt;=2023/5/31")</f>
        <v>0</v>
      </c>
      <c r="F15" s="52">
        <f>SUMIFS('72期 元データ'!$F:$F,'72期 元データ'!$B:$B,採用費管理表!$A$3,'72期 元データ'!$D:$D,採用費管理表!$B15,'72期 元データ'!$A:$A,"&gt;=2023/6/1",'72期 元データ'!$A:$A,"&lt;=2023/6/30")</f>
        <v>0</v>
      </c>
      <c r="G15" s="52">
        <f>SUMIFS('72期 元データ'!$F:$F,'72期 元データ'!$B:$B,採用費管理表!$A$3,'72期 元データ'!$D:$D,採用費管理表!$B15,'72期 元データ'!$A:$A,"&gt;=2023/7/1",'72期 元データ'!$A:$A,"&lt;=2023/7/31")</f>
        <v>0</v>
      </c>
      <c r="H15" s="52">
        <f>SUMIFS('72期 元データ'!$F:$F,'72期 元データ'!$B:$B,採用費管理表!$A$3,'72期 元データ'!$D:$D,採用費管理表!$B15,'72期 元データ'!$A:$A,"&gt;=2023/8/1",'72期 元データ'!$A:$A,"&lt;=2023/8/31")</f>
        <v>0</v>
      </c>
      <c r="I15" s="52">
        <f>SUMIFS('72期 元データ'!$F:$F,'72期 元データ'!$B:$B,採用費管理表!$A$3,'72期 元データ'!$D:$D,採用費管理表!$B15,'72期 元データ'!$A:$A,"&gt;=2023/9/1",'72期 元データ'!$A:$A,"&lt;=2023/9/30")</f>
        <v>0</v>
      </c>
      <c r="J15" s="52">
        <f>SUMIFS('72期 元データ'!$F:$F,'72期 元データ'!$B:$B,採用費管理表!$A$3,'72期 元データ'!$D:$D,採用費管理表!$B15,'72期 元データ'!$A:$A,"&gt;=2023/10/1",'72期 元データ'!$A:$A,"&lt;=2023/10/31")</f>
        <v>0</v>
      </c>
      <c r="K15" s="52">
        <f>SUMIFS('72期 元データ'!$F:$F,'72期 元データ'!$B:$B,採用費管理表!$A$3,'72期 元データ'!$D:$D,採用費管理表!$B15,'72期 元データ'!$A:$A,"&gt;=2023/11/1",'72期 元データ'!$A:$A,"&lt;=2023/11/30")</f>
        <v>0</v>
      </c>
      <c r="L15" s="52">
        <f>SUMIFS('72期 元データ'!$F:$F,'72期 元データ'!$B:$B,採用費管理表!$A$3,'72期 元データ'!$D:$D,採用費管理表!$B15,'72期 元データ'!$A:$A,"&gt;=2023/12/1",'72期 元データ'!$A:$A,"&lt;=2023/12/31")</f>
        <v>0</v>
      </c>
      <c r="M15" s="52">
        <f>SUMIFS('72期 元データ'!$F:$F,'72期 元データ'!$B:$B,採用費管理表!$A$3,'72期 元データ'!$D:$D,採用費管理表!$B15,'72期 元データ'!$A:$A,"&gt;=2024/1/1",'72期 元データ'!$A:$A,"&lt;=2024/1/31")</f>
        <v>0</v>
      </c>
      <c r="N15" s="52">
        <f>SUMIFS('72期 元データ'!$F:$F,'72期 元データ'!$B:$B,採用費管理表!$A$3,'72期 元データ'!$D:$D,採用費管理表!$B15,'72期 元データ'!$A:$A,"&gt;=2024/2/1",'72期 元データ'!$A:$A,"&lt;=2024/2/29")</f>
        <v>0</v>
      </c>
      <c r="O15" s="52">
        <f>SUMIFS('72期 元データ'!$F:$F,'72期 元データ'!$B:$B,採用費管理表!$A$3,'72期 元データ'!$D:$D,採用費管理表!$B15,'72期 元データ'!$A:$A,"&gt;=2024/3/1",'72期 元データ'!$A:$A,"&lt;=2024/3/31")</f>
        <v>0</v>
      </c>
      <c r="P15" s="43">
        <f t="shared" si="1"/>
        <v>0</v>
      </c>
      <c r="R15"/>
    </row>
    <row r="16" spans="1:18" ht="17.25" customHeight="1">
      <c r="A16" s="156"/>
      <c r="B16" s="166"/>
      <c r="C16" s="44" t="s">
        <v>31</v>
      </c>
      <c r="D16" s="45">
        <v>0</v>
      </c>
      <c r="E16" s="45">
        <v>0</v>
      </c>
      <c r="F16" s="45">
        <v>101150</v>
      </c>
      <c r="G16" s="45">
        <v>101150</v>
      </c>
      <c r="H16" s="45">
        <v>0</v>
      </c>
      <c r="I16" s="45">
        <v>0</v>
      </c>
      <c r="J16" s="45">
        <v>32040</v>
      </c>
      <c r="K16" s="45">
        <v>380313</v>
      </c>
      <c r="L16" s="45">
        <v>497791</v>
      </c>
      <c r="M16" s="45">
        <v>0</v>
      </c>
      <c r="N16" s="45">
        <v>0</v>
      </c>
      <c r="O16" s="45">
        <v>480280</v>
      </c>
      <c r="P16" s="46">
        <f t="shared" si="1"/>
        <v>1592724</v>
      </c>
      <c r="R16"/>
    </row>
    <row r="17" spans="1:18" ht="17.25" customHeight="1">
      <c r="A17" s="156"/>
      <c r="B17" s="166"/>
      <c r="C17" s="25" t="s">
        <v>16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139900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3">
        <f t="shared" si="1"/>
        <v>139900</v>
      </c>
      <c r="R17"/>
    </row>
    <row r="18" spans="1:18" ht="17.25" customHeight="1">
      <c r="A18" s="156"/>
      <c r="B18" s="166" t="s">
        <v>57</v>
      </c>
      <c r="C18" s="26" t="s">
        <v>41</v>
      </c>
      <c r="D18" s="52">
        <f>SUMIFS('72期 元データ'!$F:$F,'72期 元データ'!$B:$B,採用費管理表!$A$3,'72期 元データ'!$D:$D,採用費管理表!$B18,'72期 元データ'!$A:$A,"&gt;=2023/4/1",'72期 元データ'!$A:$A,"&lt;=2023/4/30")</f>
        <v>0</v>
      </c>
      <c r="E18" s="52">
        <f>SUMIFS('72期 元データ'!$F:$F,'72期 元データ'!$B:$B,採用費管理表!$A$3,'72期 元データ'!$D:$D,採用費管理表!$B18,'72期 元データ'!$A:$A,"&gt;=2023/5/1",'72期 元データ'!$A:$A,"&lt;=2023/5/31")</f>
        <v>0</v>
      </c>
      <c r="F18" s="52">
        <f>SUMIFS('72期 元データ'!$F:$F,'72期 元データ'!$B:$B,採用費管理表!$A$3,'72期 元データ'!$D:$D,採用費管理表!$B18,'72期 元データ'!$A:$A,"&gt;=2023/6/1",'72期 元データ'!$A:$A,"&lt;=2023/6/30")</f>
        <v>0</v>
      </c>
      <c r="G18" s="52">
        <f>SUMIFS('72期 元データ'!$F:$F,'72期 元データ'!$B:$B,採用費管理表!$A$3,'72期 元データ'!$D:$D,採用費管理表!$B18,'72期 元データ'!$A:$A,"&gt;=2023/7/1",'72期 元データ'!$A:$A,"&lt;=2023/7/31")</f>
        <v>0</v>
      </c>
      <c r="H18" s="52">
        <f>SUMIFS('72期 元データ'!$F:$F,'72期 元データ'!$B:$B,採用費管理表!$A$3,'72期 元データ'!$D:$D,採用費管理表!$B18,'72期 元データ'!$A:$A,"&gt;=2023/8/1",'72期 元データ'!$A:$A,"&lt;=2023/8/31")</f>
        <v>0</v>
      </c>
      <c r="I18" s="52">
        <f>SUMIFS('72期 元データ'!$F:$F,'72期 元データ'!$B:$B,採用費管理表!$A$3,'72期 元データ'!$D:$D,採用費管理表!$B18,'72期 元データ'!$A:$A,"&gt;=2023/9/1",'72期 元データ'!$A:$A,"&lt;=2023/9/30")</f>
        <v>0</v>
      </c>
      <c r="J18" s="52">
        <f>SUMIFS('72期 元データ'!$F:$F,'72期 元データ'!$B:$B,採用費管理表!$A$3,'72期 元データ'!$D:$D,採用費管理表!$B18,'72期 元データ'!$A:$A,"&gt;=2023/10/1",'72期 元データ'!$A:$A,"&lt;=2023/10/31")</f>
        <v>0</v>
      </c>
      <c r="K18" s="52">
        <f>SUMIFS('72期 元データ'!$F:$F,'72期 元データ'!$B:$B,採用費管理表!$A$3,'72期 元データ'!$D:$D,採用費管理表!$B18,'72期 元データ'!$A:$A,"&gt;=2023/11/1",'72期 元データ'!$A:$A,"&lt;=2023/11/30")</f>
        <v>0</v>
      </c>
      <c r="L18" s="52">
        <f>SUMIFS('72期 元データ'!$F:$F,'72期 元データ'!$B:$B,採用費管理表!$A$3,'72期 元データ'!$D:$D,採用費管理表!$B18,'72期 元データ'!$A:$A,"&gt;=2023/12/1",'72期 元データ'!$A:$A,"&lt;=2023/12/31")</f>
        <v>0</v>
      </c>
      <c r="M18" s="52">
        <f>SUMIFS('72期 元データ'!$F:$F,'72期 元データ'!$B:$B,採用費管理表!$A$3,'72期 元データ'!$D:$D,採用費管理表!$B18,'72期 元データ'!$A:$A,"&gt;=2024/1/1",'72期 元データ'!$A:$A,"&lt;=2024/1/31")</f>
        <v>0</v>
      </c>
      <c r="N18" s="52">
        <f>SUMIFS('72期 元データ'!$F:$F,'72期 元データ'!$B:$B,採用費管理表!$A$3,'72期 元データ'!$D:$D,採用費管理表!$B18,'72期 元データ'!$A:$A,"&gt;=2024/2/1",'72期 元データ'!$A:$A,"&lt;=2024/2/29")</f>
        <v>0</v>
      </c>
      <c r="O18" s="52">
        <f>SUMIFS('72期 元データ'!$F:$F,'72期 元データ'!$B:$B,採用費管理表!$A$3,'72期 元データ'!$D:$D,採用費管理表!$B18,'72期 元データ'!$A:$A,"&gt;=2024/3/1",'72期 元データ'!$A:$A,"&lt;=2024/3/31")</f>
        <v>0</v>
      </c>
      <c r="P18" s="43">
        <f t="shared" si="1"/>
        <v>0</v>
      </c>
      <c r="R18"/>
    </row>
    <row r="19" spans="1:18" ht="17.25" customHeight="1">
      <c r="A19" s="156"/>
      <c r="B19" s="166"/>
      <c r="C19" s="44" t="s">
        <v>31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6">
        <f t="shared" si="1"/>
        <v>0</v>
      </c>
      <c r="R19"/>
    </row>
    <row r="20" spans="1:18" ht="17.25" customHeight="1">
      <c r="A20" s="156"/>
      <c r="B20" s="166"/>
      <c r="C20" s="25" t="s">
        <v>16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3">
        <f t="shared" si="1"/>
        <v>0</v>
      </c>
      <c r="R20"/>
    </row>
    <row r="21" spans="1:18" ht="17.25" customHeight="1">
      <c r="A21" s="156"/>
      <c r="B21" s="166" t="s">
        <v>30</v>
      </c>
      <c r="C21" s="26" t="s">
        <v>41</v>
      </c>
      <c r="D21" s="52">
        <f>SUMIFS('72期 元データ'!$F:$F,'72期 元データ'!$B:$B,採用費管理表!$A$3,'72期 元データ'!$D:$D,採用費管理表!$B21,'72期 元データ'!$A:$A,"&gt;=2023/4/1",'72期 元データ'!$A:$A,"&lt;=2023/4/30")</f>
        <v>0</v>
      </c>
      <c r="E21" s="52">
        <f>SUMIFS('72期 元データ'!$F:$F,'72期 元データ'!$B:$B,採用費管理表!$A$3,'72期 元データ'!$D:$D,採用費管理表!$B21,'72期 元データ'!$A:$A,"&gt;=2023/5/1",'72期 元データ'!$A:$A,"&lt;=2023/5/31")</f>
        <v>0</v>
      </c>
      <c r="F21" s="52">
        <f>SUMIFS('72期 元データ'!$F:$F,'72期 元データ'!$B:$B,採用費管理表!$A$3,'72期 元データ'!$D:$D,採用費管理表!$B21,'72期 元データ'!$A:$A,"&gt;=2023/6/1",'72期 元データ'!$A:$A,"&lt;=2023/6/30")</f>
        <v>0</v>
      </c>
      <c r="G21" s="52">
        <f>SUMIFS('72期 元データ'!$F:$F,'72期 元データ'!$B:$B,採用費管理表!$A$3,'72期 元データ'!$D:$D,採用費管理表!$B21,'72期 元データ'!$A:$A,"&gt;=2023/7/1",'72期 元データ'!$A:$A,"&lt;=2023/7/31")</f>
        <v>0</v>
      </c>
      <c r="H21" s="52">
        <f>SUMIFS('72期 元データ'!$F:$F,'72期 元データ'!$B:$B,採用費管理表!$A$3,'72期 元データ'!$D:$D,採用費管理表!$B21,'72期 元データ'!$A:$A,"&gt;=2023/8/1",'72期 元データ'!$A:$A,"&lt;=2023/8/31")</f>
        <v>0</v>
      </c>
      <c r="I21" s="52">
        <f>SUMIFS('72期 元データ'!$F:$F,'72期 元データ'!$B:$B,採用費管理表!$A$3,'72期 元データ'!$D:$D,採用費管理表!$B21,'72期 元データ'!$A:$A,"&gt;=2023/9/1",'72期 元データ'!$A:$A,"&lt;=2023/9/30")</f>
        <v>0</v>
      </c>
      <c r="J21" s="52">
        <f>SUMIFS('72期 元データ'!$F:$F,'72期 元データ'!$B:$B,採用費管理表!$A$3,'72期 元データ'!$D:$D,採用費管理表!$B21,'72期 元データ'!$A:$A,"&gt;=2023/10/1",'72期 元データ'!$A:$A,"&lt;=2023/10/31")</f>
        <v>0</v>
      </c>
      <c r="K21" s="52">
        <f>SUMIFS('72期 元データ'!$F:$F,'72期 元データ'!$B:$B,採用費管理表!$A$3,'72期 元データ'!$D:$D,採用費管理表!$B21,'72期 元データ'!$A:$A,"&gt;=2023/11/1",'72期 元データ'!$A:$A,"&lt;=2023/11/30")</f>
        <v>0</v>
      </c>
      <c r="L21" s="52">
        <f>SUMIFS('72期 元データ'!$F:$F,'72期 元データ'!$B:$B,採用費管理表!$A$3,'72期 元データ'!$D:$D,採用費管理表!$B21,'72期 元データ'!$A:$A,"&gt;=2023/12/1",'72期 元データ'!$A:$A,"&lt;=2023/12/31")</f>
        <v>0</v>
      </c>
      <c r="M21" s="52">
        <f>SUMIFS('72期 元データ'!$F:$F,'72期 元データ'!$B:$B,採用費管理表!$A$3,'72期 元データ'!$D:$D,採用費管理表!$B21,'72期 元データ'!$A:$A,"&gt;=2024/1/1",'72期 元データ'!$A:$A,"&lt;=2024/1/31")</f>
        <v>0</v>
      </c>
      <c r="N21" s="52">
        <f>SUMIFS('72期 元データ'!$F:$F,'72期 元データ'!$B:$B,採用費管理表!$A$3,'72期 元データ'!$D:$D,採用費管理表!$B21,'72期 元データ'!$A:$A,"&gt;=2024/2/1",'72期 元データ'!$A:$A,"&lt;=2024/2/29")</f>
        <v>0</v>
      </c>
      <c r="O21" s="52">
        <f>SUMIFS('72期 元データ'!$F:$F,'72期 元データ'!$B:$B,採用費管理表!$A$3,'72期 元データ'!$D:$D,採用費管理表!$B21,'72期 元データ'!$A:$A,"&gt;=2024/3/1",'72期 元データ'!$A:$A,"&lt;=2024/3/31")</f>
        <v>0</v>
      </c>
      <c r="P21" s="43">
        <f t="shared" si="1"/>
        <v>0</v>
      </c>
      <c r="R21"/>
    </row>
    <row r="22" spans="1:18" ht="17.25" customHeight="1">
      <c r="A22" s="156"/>
      <c r="B22" s="166"/>
      <c r="C22" s="44" t="s">
        <v>31</v>
      </c>
      <c r="D22" s="45">
        <v>0</v>
      </c>
      <c r="E22" s="45">
        <v>0</v>
      </c>
      <c r="F22" s="45">
        <v>0</v>
      </c>
      <c r="G22" s="45">
        <v>0</v>
      </c>
      <c r="H22" s="45">
        <v>850000</v>
      </c>
      <c r="I22" s="45">
        <v>150000</v>
      </c>
      <c r="J22" s="45">
        <v>0</v>
      </c>
      <c r="K22" s="45">
        <v>0</v>
      </c>
      <c r="L22" s="45">
        <v>0</v>
      </c>
      <c r="M22" s="45">
        <v>0</v>
      </c>
      <c r="N22" s="45">
        <v>0</v>
      </c>
      <c r="O22" s="45">
        <v>0</v>
      </c>
      <c r="P22" s="46">
        <f t="shared" si="1"/>
        <v>1000000</v>
      </c>
      <c r="R22"/>
    </row>
    <row r="23" spans="1:18" ht="17.25" customHeight="1">
      <c r="A23" s="156"/>
      <c r="B23" s="166"/>
      <c r="C23" s="25" t="s">
        <v>16</v>
      </c>
      <c r="D23" s="12">
        <v>0</v>
      </c>
      <c r="E23" s="12">
        <v>15000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177540</v>
      </c>
      <c r="L23" s="12">
        <v>67553</v>
      </c>
      <c r="M23" s="12">
        <v>0</v>
      </c>
      <c r="N23" s="12">
        <v>0</v>
      </c>
      <c r="O23" s="12">
        <v>0</v>
      </c>
      <c r="P23" s="13">
        <f t="shared" si="1"/>
        <v>260093</v>
      </c>
      <c r="R23" s="22"/>
    </row>
    <row r="24" spans="1:18" ht="17.25" customHeight="1">
      <c r="A24" s="156"/>
      <c r="B24" s="166" t="s">
        <v>58</v>
      </c>
      <c r="C24" s="26" t="s">
        <v>41</v>
      </c>
      <c r="D24" s="52">
        <f>SUMIFS('72期 元データ'!$F:$F,'72期 元データ'!$B:$B,採用費管理表!$A$3,'72期 元データ'!$D:$D,採用費管理表!$B24,'72期 元データ'!$A:$A,"&gt;=2023/4/1",'72期 元データ'!$A:$A,"&lt;=2023/4/30")</f>
        <v>0</v>
      </c>
      <c r="E24" s="52">
        <f>SUMIFS('72期 元データ'!$F:$F,'72期 元データ'!$B:$B,採用費管理表!$A$3,'72期 元データ'!$D:$D,採用費管理表!$B24,'72期 元データ'!$A:$A,"&gt;=2023/5/1",'72期 元データ'!$A:$A,"&lt;=2023/5/31")</f>
        <v>0</v>
      </c>
      <c r="F24" s="52">
        <f>SUMIFS('72期 元データ'!$F:$F,'72期 元データ'!$B:$B,採用費管理表!$A$3,'72期 元データ'!$D:$D,採用費管理表!$B24,'72期 元データ'!$A:$A,"&gt;=2023/6/1",'72期 元データ'!$A:$A,"&lt;=2023/6/30")</f>
        <v>0</v>
      </c>
      <c r="G24" s="52">
        <f>SUMIFS('72期 元データ'!$F:$F,'72期 元データ'!$B:$B,採用費管理表!$A$3,'72期 元データ'!$D:$D,採用費管理表!$B24,'72期 元データ'!$A:$A,"&gt;=2023/7/1",'72期 元データ'!$A:$A,"&lt;=2023/7/31")</f>
        <v>0</v>
      </c>
      <c r="H24" s="52">
        <f>SUMIFS('72期 元データ'!$F:$F,'72期 元データ'!$B:$B,採用費管理表!$A$3,'72期 元データ'!$D:$D,採用費管理表!$B24,'72期 元データ'!$A:$A,"&gt;=2023/8/1",'72期 元データ'!$A:$A,"&lt;=2023/8/31")</f>
        <v>0</v>
      </c>
      <c r="I24" s="52">
        <f>SUMIFS('72期 元データ'!$F:$F,'72期 元データ'!$B:$B,採用費管理表!$A$3,'72期 元データ'!$D:$D,採用費管理表!$B24,'72期 元データ'!$A:$A,"&gt;=2023/9/1",'72期 元データ'!$A:$A,"&lt;=2023/9/30")</f>
        <v>0</v>
      </c>
      <c r="J24" s="52">
        <f>SUMIFS('72期 元データ'!$F:$F,'72期 元データ'!$B:$B,採用費管理表!$A$3,'72期 元データ'!$D:$D,採用費管理表!$B24,'72期 元データ'!$A:$A,"&gt;=2023/10/1",'72期 元データ'!$A:$A,"&lt;=2023/10/31")</f>
        <v>0</v>
      </c>
      <c r="K24" s="52">
        <f>SUMIFS('72期 元データ'!$F:$F,'72期 元データ'!$B:$B,採用費管理表!$A$3,'72期 元データ'!$D:$D,採用費管理表!$B24,'72期 元データ'!$A:$A,"&gt;=2023/11/1",'72期 元データ'!$A:$A,"&lt;=2023/11/30")</f>
        <v>0</v>
      </c>
      <c r="L24" s="52">
        <f>SUMIFS('72期 元データ'!$F:$F,'72期 元データ'!$B:$B,採用費管理表!$A$3,'72期 元データ'!$D:$D,採用費管理表!$B24,'72期 元データ'!$A:$A,"&gt;=2023/12/1",'72期 元データ'!$A:$A,"&lt;=2023/12/31")</f>
        <v>0</v>
      </c>
      <c r="M24" s="52">
        <f>SUMIFS('72期 元データ'!$F:$F,'72期 元データ'!$B:$B,採用費管理表!$A$3,'72期 元データ'!$D:$D,採用費管理表!$B24,'72期 元データ'!$A:$A,"&gt;=2024/1/1",'72期 元データ'!$A:$A,"&lt;=2024/1/31")</f>
        <v>0</v>
      </c>
      <c r="N24" s="52">
        <f>SUMIFS('72期 元データ'!$F:$F,'72期 元データ'!$B:$B,採用費管理表!$A$3,'72期 元データ'!$D:$D,採用費管理表!$B24,'72期 元データ'!$A:$A,"&gt;=2024/2/1",'72期 元データ'!$A:$A,"&lt;=2024/2/29")</f>
        <v>0</v>
      </c>
      <c r="O24" s="52">
        <f>SUMIFS('72期 元データ'!$F:$F,'72期 元データ'!$B:$B,採用費管理表!$A$3,'72期 元データ'!$D:$D,採用費管理表!$B24,'72期 元データ'!$A:$A,"&gt;=2024/3/1",'72期 元データ'!$A:$A,"&lt;=2024/3/31")</f>
        <v>0</v>
      </c>
      <c r="P24" s="43">
        <f t="shared" si="1"/>
        <v>0</v>
      </c>
      <c r="R24"/>
    </row>
    <row r="25" spans="1:18" ht="17.25" customHeight="1">
      <c r="A25" s="156"/>
      <c r="B25" s="166"/>
      <c r="C25" s="44" t="s">
        <v>31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6">
        <f t="shared" si="1"/>
        <v>0</v>
      </c>
    </row>
    <row r="26" spans="1:18" ht="17.25" customHeight="1">
      <c r="A26" s="157"/>
      <c r="B26" s="166"/>
      <c r="C26" s="54" t="s">
        <v>16</v>
      </c>
      <c r="D26" s="55">
        <v>0</v>
      </c>
      <c r="E26" s="55">
        <v>0</v>
      </c>
      <c r="F26" s="55">
        <v>0</v>
      </c>
      <c r="G26" s="55">
        <v>0</v>
      </c>
      <c r="H26" s="55">
        <v>0</v>
      </c>
      <c r="I26" s="55">
        <v>0</v>
      </c>
      <c r="J26" s="55">
        <v>550000</v>
      </c>
      <c r="K26" s="55">
        <v>0</v>
      </c>
      <c r="L26" s="55">
        <v>0</v>
      </c>
      <c r="M26" s="55">
        <v>0</v>
      </c>
      <c r="N26" s="55">
        <v>0</v>
      </c>
      <c r="O26" s="55">
        <v>0</v>
      </c>
      <c r="P26" s="56">
        <f t="shared" si="1"/>
        <v>550000</v>
      </c>
    </row>
    <row r="27" spans="1:18" ht="17.25" customHeight="1">
      <c r="A27" s="158" t="s">
        <v>44</v>
      </c>
      <c r="B27" s="163" t="s">
        <v>52</v>
      </c>
      <c r="C27" s="26" t="s">
        <v>41</v>
      </c>
      <c r="D27" s="52">
        <f>SUMIFS('72期 元データ'!$F:$F,'72期 元データ'!$B:$B,採用費管理表!$A$27,'72期 元データ'!$D:$D,採用費管理表!$B27,'72期 元データ'!$A:$A,"&gt;=2023/4/1",'72期 元データ'!$A:$A,"&lt;=2023/4/30")</f>
        <v>0</v>
      </c>
      <c r="E27" s="52">
        <f>SUMIFS('72期 元データ'!$F:$F,'72期 元データ'!$B:$B,採用費管理表!$A$27,'72期 元データ'!$D:$D,採用費管理表!$B27,'72期 元データ'!$A:$A,"&gt;=2023/5/1",'72期 元データ'!$A:$A,"&lt;=2023/5/31")</f>
        <v>0</v>
      </c>
      <c r="F27" s="52">
        <f>SUMIFS('72期 元データ'!$F:$F,'72期 元データ'!$B:$B,採用費管理表!$A$27,'72期 元データ'!$D:$D,採用費管理表!$B27,'72期 元データ'!$A:$A,"&gt;=2023/6/1",'72期 元データ'!$A:$A,"&lt;=2023/6/30")</f>
        <v>0</v>
      </c>
      <c r="G27" s="52">
        <f>SUMIFS('72期 元データ'!$F:$F,'72期 元データ'!$B:$B,採用費管理表!$A$27,'72期 元データ'!$D:$D,採用費管理表!$B27,'72期 元データ'!$A:$A,"&gt;=2023/7/1",'72期 元データ'!$A:$A,"&lt;=2023/7/31")</f>
        <v>0</v>
      </c>
      <c r="H27" s="52">
        <f>SUMIFS('72期 元データ'!$F:$F,'72期 元データ'!$B:$B,採用費管理表!$A$27,'72期 元データ'!$D:$D,採用費管理表!$B27,'72期 元データ'!$A:$A,"&gt;=2023/8/1",'72期 元データ'!$A:$A,"&lt;=2023/8/31")</f>
        <v>0</v>
      </c>
      <c r="I27" s="52">
        <f>SUMIFS('72期 元データ'!$F:$F,'72期 元データ'!$B:$B,採用費管理表!$A$27,'72期 元データ'!$D:$D,採用費管理表!$B27,'72期 元データ'!$A:$A,"&gt;=2023/9/1",'72期 元データ'!$A:$A,"&lt;=2023/9/30")</f>
        <v>0</v>
      </c>
      <c r="J27" s="52">
        <f>SUMIFS('72期 元データ'!$F:$F,'72期 元データ'!$B:$B,採用費管理表!$A$27,'72期 元データ'!$D:$D,採用費管理表!$B27,'72期 元データ'!$A:$A,"&gt;=2023/10/1",'72期 元データ'!$A:$A,"&lt;=2023/10/31")</f>
        <v>0</v>
      </c>
      <c r="K27" s="52">
        <f>SUMIFS('72期 元データ'!$F:$F,'72期 元データ'!$B:$B,採用費管理表!$A$27,'72期 元データ'!$D:$D,採用費管理表!$B27,'72期 元データ'!$A:$A,"&gt;=2023/11/1",'72期 元データ'!$A:$A,"&lt;=2023/11/30")</f>
        <v>0</v>
      </c>
      <c r="L27" s="52">
        <f>SUMIFS('72期 元データ'!$F:$F,'72期 元データ'!$B:$B,採用費管理表!$A$27,'72期 元データ'!$D:$D,採用費管理表!$B27,'72期 元データ'!$A:$A,"&gt;=2023/12/1",'72期 元データ'!$A:$A,"&lt;=2023/12/31")</f>
        <v>0</v>
      </c>
      <c r="M27" s="52">
        <f>SUMIFS('72期 元データ'!$F:$F,'72期 元データ'!$B:$B,採用費管理表!$A$27,'72期 元データ'!$D:$D,採用費管理表!$B27,'72期 元データ'!$A:$A,"&gt;=2024/1/1",'72期 元データ'!$A:$A,"&lt;=2024/1/31")</f>
        <v>0</v>
      </c>
      <c r="N27" s="52">
        <f>SUMIFS('72期 元データ'!$F:$F,'72期 元データ'!$B:$B,採用費管理表!$A$27,'72期 元データ'!$D:$D,採用費管理表!$B27,'72期 元データ'!$A:$A,"&gt;=2024/2/1",'72期 元データ'!$A:$A,"&lt;=2024/2/29")</f>
        <v>0</v>
      </c>
      <c r="O27" s="52">
        <f>SUMIFS('72期 元データ'!$F:$F,'72期 元データ'!$B:$B,採用費管理表!$A$27,'72期 元データ'!$D:$D,採用費管理表!$B27,'72期 元データ'!$A:$A,"&gt;=2024/3/1",'72期 元データ'!$A:$A,"&lt;=2024/3/31")</f>
        <v>0</v>
      </c>
      <c r="P27" s="53">
        <f t="shared" si="1"/>
        <v>0</v>
      </c>
    </row>
    <row r="28" spans="1:18" ht="17.25" customHeight="1">
      <c r="A28" s="158"/>
      <c r="B28" s="163"/>
      <c r="C28" s="44" t="s">
        <v>31</v>
      </c>
      <c r="D28" s="45">
        <v>324500</v>
      </c>
      <c r="E28" s="45">
        <v>248600</v>
      </c>
      <c r="F28" s="45">
        <v>0</v>
      </c>
      <c r="G28" s="45">
        <v>0</v>
      </c>
      <c r="H28" s="45">
        <v>436700</v>
      </c>
      <c r="I28" s="45">
        <v>1045000</v>
      </c>
      <c r="J28" s="45">
        <v>220000</v>
      </c>
      <c r="K28" s="45">
        <v>2640000</v>
      </c>
      <c r="L28" s="45">
        <v>1320000</v>
      </c>
      <c r="M28" s="45">
        <v>3333000</v>
      </c>
      <c r="N28" s="45">
        <v>1820500</v>
      </c>
      <c r="O28" s="45">
        <v>0</v>
      </c>
      <c r="P28" s="46">
        <f t="shared" si="1"/>
        <v>11388300</v>
      </c>
    </row>
    <row r="29" spans="1:18" ht="17.25" customHeight="1">
      <c r="A29" s="158"/>
      <c r="B29" s="163"/>
      <c r="C29" s="25" t="s">
        <v>16</v>
      </c>
      <c r="D29" s="12">
        <v>0</v>
      </c>
      <c r="E29" s="12">
        <v>550000</v>
      </c>
      <c r="F29" s="12">
        <v>0</v>
      </c>
      <c r="G29" s="12">
        <v>0</v>
      </c>
      <c r="H29" s="12">
        <v>0</v>
      </c>
      <c r="I29" s="12">
        <v>770000</v>
      </c>
      <c r="J29" s="12">
        <v>0</v>
      </c>
      <c r="K29" s="12">
        <v>0</v>
      </c>
      <c r="L29" s="12">
        <v>0</v>
      </c>
      <c r="M29" s="12">
        <v>110000</v>
      </c>
      <c r="N29" s="12">
        <v>0</v>
      </c>
      <c r="O29" s="12">
        <v>519200</v>
      </c>
      <c r="P29" s="13">
        <f t="shared" si="1"/>
        <v>1949200</v>
      </c>
    </row>
    <row r="30" spans="1:18" ht="17.25" customHeight="1">
      <c r="A30" s="158"/>
      <c r="B30" s="163" t="s">
        <v>58</v>
      </c>
      <c r="C30" s="26" t="s">
        <v>41</v>
      </c>
      <c r="D30" s="52">
        <f>SUMIFS('72期 元データ'!$F:$F,'72期 元データ'!$B:$B,採用費管理表!$A$27,'72期 元データ'!$D:$D,採用費管理表!$B30,'72期 元データ'!$A:$A,"&gt;=2023/4/1",'72期 元データ'!$A:$A,"&lt;=2023/4/30")</f>
        <v>0</v>
      </c>
      <c r="E30" s="52">
        <f>SUMIFS('72期 元データ'!$F:$F,'72期 元データ'!$B:$B,採用費管理表!$A$27,'72期 元データ'!$D:$D,採用費管理表!$B30,'72期 元データ'!$A:$A,"&gt;=2023/5/1",'72期 元データ'!$A:$A,"&lt;=2023/5/31")</f>
        <v>0</v>
      </c>
      <c r="F30" s="52">
        <f>SUMIFS('72期 元データ'!$F:$F,'72期 元データ'!$B:$B,採用費管理表!$A$27,'72期 元データ'!$D:$D,採用費管理表!$B30,'72期 元データ'!$A:$A,"&gt;=2023/6/1",'72期 元データ'!$A:$A,"&lt;=2023/6/30")</f>
        <v>0</v>
      </c>
      <c r="G30" s="52">
        <f>SUMIFS('72期 元データ'!$F:$F,'72期 元データ'!$B:$B,採用費管理表!$A$27,'72期 元データ'!$D:$D,採用費管理表!$B30,'72期 元データ'!$A:$A,"&gt;=2023/7/1",'72期 元データ'!$A:$A,"&lt;=2023/7/31")</f>
        <v>0</v>
      </c>
      <c r="H30" s="52">
        <f>SUMIFS('72期 元データ'!$F:$F,'72期 元データ'!$B:$B,採用費管理表!$A$27,'72期 元データ'!$D:$D,採用費管理表!$B30,'72期 元データ'!$A:$A,"&gt;=2023/8/1",'72期 元データ'!$A:$A,"&lt;=2023/8/31")</f>
        <v>0</v>
      </c>
      <c r="I30" s="52">
        <f>SUMIFS('72期 元データ'!$F:$F,'72期 元データ'!$B:$B,採用費管理表!$A$27,'72期 元データ'!$D:$D,採用費管理表!$B30,'72期 元データ'!$A:$A,"&gt;=2023/9/1",'72期 元データ'!$A:$A,"&lt;=2023/9/30")</f>
        <v>0</v>
      </c>
      <c r="J30" s="52">
        <f>SUMIFS('72期 元データ'!$F:$F,'72期 元データ'!$B:$B,採用費管理表!$A$27,'72期 元データ'!$D:$D,採用費管理表!$B30,'72期 元データ'!$A:$A,"&gt;=2023/10/1",'72期 元データ'!$A:$A,"&lt;=2023/10/31")</f>
        <v>0</v>
      </c>
      <c r="K30" s="52">
        <f>SUMIFS('72期 元データ'!$F:$F,'72期 元データ'!$B:$B,採用費管理表!$A$27,'72期 元データ'!$D:$D,採用費管理表!$B30,'72期 元データ'!$A:$A,"&gt;=2023/11/1",'72期 元データ'!$A:$A,"&lt;=2023/11/30")</f>
        <v>0</v>
      </c>
      <c r="L30" s="52">
        <f>SUMIFS('72期 元データ'!$F:$F,'72期 元データ'!$B:$B,採用費管理表!$A$27,'72期 元データ'!$D:$D,採用費管理表!$B30,'72期 元データ'!$A:$A,"&gt;=2023/12/1",'72期 元データ'!$A:$A,"&lt;=2023/12/31")</f>
        <v>0</v>
      </c>
      <c r="M30" s="52">
        <f>SUMIFS('72期 元データ'!$F:$F,'72期 元データ'!$B:$B,採用費管理表!$A$27,'72期 元データ'!$D:$D,採用費管理表!$B30,'72期 元データ'!$A:$A,"&gt;=2024/1/1",'72期 元データ'!$A:$A,"&lt;=2024/1/31")</f>
        <v>0</v>
      </c>
      <c r="N30" s="52">
        <f>SUMIFS('72期 元データ'!$F:$F,'72期 元データ'!$B:$B,採用費管理表!$A$27,'72期 元データ'!$D:$D,採用費管理表!$B30,'72期 元データ'!$A:$A,"&gt;=2024/2/1",'72期 元データ'!$A:$A,"&lt;=2024/2/29")</f>
        <v>0</v>
      </c>
      <c r="O30" s="52">
        <f>SUMIFS('72期 元データ'!$F:$F,'72期 元データ'!$B:$B,採用費管理表!$A$27,'72期 元データ'!$D:$D,採用費管理表!$B30,'72期 元データ'!$A:$A,"&gt;=2024/3/1",'72期 元データ'!$A:$A,"&lt;=2024/3/31")</f>
        <v>0</v>
      </c>
      <c r="P30" s="43">
        <f t="shared" si="1"/>
        <v>0</v>
      </c>
    </row>
    <row r="31" spans="1:18" ht="17.25" customHeight="1">
      <c r="A31" s="158"/>
      <c r="B31" s="163"/>
      <c r="C31" s="44" t="s">
        <v>31</v>
      </c>
      <c r="D31" s="45">
        <v>3724618</v>
      </c>
      <c r="E31" s="45">
        <v>2588410</v>
      </c>
      <c r="F31" s="45">
        <v>2293139</v>
      </c>
      <c r="G31" s="45">
        <v>1724734</v>
      </c>
      <c r="H31" s="45">
        <v>6793016</v>
      </c>
      <c r="I31" s="45">
        <v>7387066</v>
      </c>
      <c r="J31" s="45">
        <v>5333829</v>
      </c>
      <c r="K31" s="45">
        <v>6645411</v>
      </c>
      <c r="L31" s="45">
        <v>4958362</v>
      </c>
      <c r="M31" s="45">
        <v>0</v>
      </c>
      <c r="N31" s="45">
        <v>4288788</v>
      </c>
      <c r="O31" s="45">
        <v>790336</v>
      </c>
      <c r="P31" s="46">
        <f t="shared" si="1"/>
        <v>46527709</v>
      </c>
    </row>
    <row r="32" spans="1:18" ht="17.25" customHeight="1">
      <c r="A32" s="158"/>
      <c r="B32" s="163"/>
      <c r="C32" s="25" t="s">
        <v>16</v>
      </c>
      <c r="D32" s="12">
        <v>0</v>
      </c>
      <c r="E32" s="12">
        <v>4743420</v>
      </c>
      <c r="F32" s="12">
        <v>0</v>
      </c>
      <c r="G32" s="12">
        <v>2744857</v>
      </c>
      <c r="H32" s="12">
        <v>5885787</v>
      </c>
      <c r="I32" s="12">
        <v>0</v>
      </c>
      <c r="J32" s="12">
        <v>3418060</v>
      </c>
      <c r="K32" s="12">
        <v>1696926</v>
      </c>
      <c r="L32" s="12">
        <v>1660058</v>
      </c>
      <c r="M32" s="12">
        <v>0</v>
      </c>
      <c r="N32" s="12">
        <v>3317160</v>
      </c>
      <c r="O32" s="12">
        <v>4986566</v>
      </c>
      <c r="P32" s="13">
        <f t="shared" si="1"/>
        <v>28452834</v>
      </c>
    </row>
    <row r="33" spans="1:16" ht="17.25" customHeight="1">
      <c r="A33" s="158"/>
      <c r="B33" s="163" t="s">
        <v>53</v>
      </c>
      <c r="C33" s="26" t="s">
        <v>41</v>
      </c>
      <c r="D33" s="52">
        <f>SUMIFS('72期 元データ'!$F:$F,'72期 元データ'!$B:$B,採用費管理表!$A$27,'72期 元データ'!$D:$D,採用費管理表!$B33,'72期 元データ'!$A:$A,"&gt;=2023/4/1",'72期 元データ'!$A:$A,"&lt;=2023/4/30")</f>
        <v>0</v>
      </c>
      <c r="E33" s="52">
        <f>SUMIFS('72期 元データ'!$F:$F,'72期 元データ'!$B:$B,採用費管理表!$A$27,'72期 元データ'!$D:$D,採用費管理表!$B33,'72期 元データ'!$A:$A,"&gt;=2023/5/1",'72期 元データ'!$A:$A,"&lt;=2023/5/31")</f>
        <v>0</v>
      </c>
      <c r="F33" s="52">
        <f>SUMIFS('72期 元データ'!$F:$F,'72期 元データ'!$B:$B,採用費管理表!$A$27,'72期 元データ'!$D:$D,採用費管理表!$B33,'72期 元データ'!$A:$A,"&gt;=2023/6/1",'72期 元データ'!$A:$A,"&lt;=2023/6/30")</f>
        <v>0</v>
      </c>
      <c r="G33" s="52">
        <f>SUMIFS('72期 元データ'!$F:$F,'72期 元データ'!$B:$B,採用費管理表!$A$27,'72期 元データ'!$D:$D,採用費管理表!$B33,'72期 元データ'!$A:$A,"&gt;=2023/7/1",'72期 元データ'!$A:$A,"&lt;=2023/7/31")</f>
        <v>0</v>
      </c>
      <c r="H33" s="52">
        <f>SUMIFS('72期 元データ'!$F:$F,'72期 元データ'!$B:$B,採用費管理表!$A$27,'72期 元データ'!$D:$D,採用費管理表!$B33,'72期 元データ'!$A:$A,"&gt;=2023/8/1",'72期 元データ'!$A:$A,"&lt;=2023/8/31")</f>
        <v>0</v>
      </c>
      <c r="I33" s="52">
        <f>SUMIFS('72期 元データ'!$F:$F,'72期 元データ'!$B:$B,採用費管理表!$A$27,'72期 元データ'!$D:$D,採用費管理表!$B33,'72期 元データ'!$A:$A,"&gt;=2023/9/1",'72期 元データ'!$A:$A,"&lt;=2023/9/30")</f>
        <v>0</v>
      </c>
      <c r="J33" s="52">
        <f>SUMIFS('72期 元データ'!$F:$F,'72期 元データ'!$B:$B,採用費管理表!$A$27,'72期 元データ'!$D:$D,採用費管理表!$B33,'72期 元データ'!$A:$A,"&gt;=2023/10/1",'72期 元データ'!$A:$A,"&lt;=2023/10/31")</f>
        <v>0</v>
      </c>
      <c r="K33" s="52">
        <f>SUMIFS('72期 元データ'!$F:$F,'72期 元データ'!$B:$B,採用費管理表!$A$27,'72期 元データ'!$D:$D,採用費管理表!$B33,'72期 元データ'!$A:$A,"&gt;=2023/11/1",'72期 元データ'!$A:$A,"&lt;=2023/11/30")</f>
        <v>0</v>
      </c>
      <c r="L33" s="52">
        <f>SUMIFS('72期 元データ'!$F:$F,'72期 元データ'!$B:$B,採用費管理表!$A$27,'72期 元データ'!$D:$D,採用費管理表!$B33,'72期 元データ'!$A:$A,"&gt;=2023/12/1",'72期 元データ'!$A:$A,"&lt;=2023/12/31")</f>
        <v>0</v>
      </c>
      <c r="M33" s="52">
        <f>SUMIFS('72期 元データ'!$F:$F,'72期 元データ'!$B:$B,採用費管理表!$A$27,'72期 元データ'!$D:$D,採用費管理表!$B33,'72期 元データ'!$A:$A,"&gt;=2024/1/1",'72期 元データ'!$A:$A,"&lt;=2024/1/31")</f>
        <v>0</v>
      </c>
      <c r="N33" s="52">
        <f>SUMIFS('72期 元データ'!$F:$F,'72期 元データ'!$B:$B,採用費管理表!$A$27,'72期 元データ'!$D:$D,採用費管理表!$B33,'72期 元データ'!$A:$A,"&gt;=2024/2/1",'72期 元データ'!$A:$A,"&lt;=2024/2/29")</f>
        <v>0</v>
      </c>
      <c r="O33" s="52">
        <f>SUMIFS('72期 元データ'!$F:$F,'72期 元データ'!$B:$B,採用費管理表!$A$27,'72期 元データ'!$D:$D,採用費管理表!$B33,'72期 元データ'!$A:$A,"&gt;=2024/3/1",'72期 元データ'!$A:$A,"&lt;=2024/3/31")</f>
        <v>0</v>
      </c>
      <c r="P33" s="43">
        <f t="shared" si="1"/>
        <v>0</v>
      </c>
    </row>
    <row r="34" spans="1:16" ht="18" customHeight="1">
      <c r="A34" s="158"/>
      <c r="B34" s="163"/>
      <c r="C34" s="44" t="s">
        <v>31</v>
      </c>
      <c r="D34" s="45">
        <v>6298</v>
      </c>
      <c r="E34" s="45">
        <v>0</v>
      </c>
      <c r="F34" s="45">
        <v>59250</v>
      </c>
      <c r="G34" s="45">
        <v>6000</v>
      </c>
      <c r="H34" s="45">
        <v>2500</v>
      </c>
      <c r="I34" s="45">
        <v>0</v>
      </c>
      <c r="J34" s="45">
        <v>11332</v>
      </c>
      <c r="K34" s="45">
        <v>55866</v>
      </c>
      <c r="L34" s="45">
        <v>0</v>
      </c>
      <c r="M34" s="45">
        <v>0</v>
      </c>
      <c r="N34" s="45">
        <v>10034</v>
      </c>
      <c r="O34" s="45">
        <v>0</v>
      </c>
      <c r="P34" s="46">
        <f t="shared" si="1"/>
        <v>151280</v>
      </c>
    </row>
    <row r="35" spans="1:16" ht="17.25" customHeight="1">
      <c r="A35" s="158"/>
      <c r="B35" s="163"/>
      <c r="C35" s="25" t="s">
        <v>16</v>
      </c>
      <c r="D35" s="12">
        <v>21432</v>
      </c>
      <c r="E35" s="12">
        <v>67098</v>
      </c>
      <c r="F35" s="12">
        <v>52123</v>
      </c>
      <c r="G35" s="12">
        <v>0</v>
      </c>
      <c r="H35" s="12">
        <v>12515</v>
      </c>
      <c r="I35" s="12">
        <v>9760</v>
      </c>
      <c r="J35" s="12">
        <v>0</v>
      </c>
      <c r="K35" s="12">
        <v>439002</v>
      </c>
      <c r="L35" s="12">
        <v>28866</v>
      </c>
      <c r="M35" s="12">
        <v>29557</v>
      </c>
      <c r="N35" s="12">
        <v>4982</v>
      </c>
      <c r="O35" s="12">
        <v>25224</v>
      </c>
      <c r="P35" s="13">
        <f t="shared" si="1"/>
        <v>690559</v>
      </c>
    </row>
    <row r="36" spans="1:16" ht="17.25" customHeight="1">
      <c r="A36" s="158"/>
      <c r="B36" s="163" t="s">
        <v>56</v>
      </c>
      <c r="C36" s="26" t="s">
        <v>41</v>
      </c>
      <c r="D36" s="52">
        <f>SUMIFS('72期 元データ'!$F:$F,'72期 元データ'!$B:$B,採用費管理表!$A$27,'72期 元データ'!$D:$D,採用費管理表!$B36,'72期 元データ'!$A:$A,"&gt;=2023/4/1",'72期 元データ'!$A:$A,"&lt;=2023/4/30")</f>
        <v>0</v>
      </c>
      <c r="E36" s="52">
        <f>SUMIFS('72期 元データ'!$F:$F,'72期 元データ'!$B:$B,採用費管理表!$A$27,'72期 元データ'!$D:$D,採用費管理表!$B36,'72期 元データ'!$A:$A,"&gt;=2023/5/1",'72期 元データ'!$A:$A,"&lt;=2023/5/31")</f>
        <v>0</v>
      </c>
      <c r="F36" s="52">
        <f>SUMIFS('72期 元データ'!$F:$F,'72期 元データ'!$B:$B,採用費管理表!$A$27,'72期 元データ'!$D:$D,採用費管理表!$B36,'72期 元データ'!$A:$A,"&gt;=2023/6/1",'72期 元データ'!$A:$A,"&lt;=2023/6/30")</f>
        <v>0</v>
      </c>
      <c r="G36" s="52">
        <f>SUMIFS('72期 元データ'!$F:$F,'72期 元データ'!$B:$B,採用費管理表!$A$27,'72期 元データ'!$D:$D,採用費管理表!$B36,'72期 元データ'!$A:$A,"&gt;=2023/7/1",'72期 元データ'!$A:$A,"&lt;=2023/7/31")</f>
        <v>0</v>
      </c>
      <c r="H36" s="52">
        <f>SUMIFS('72期 元データ'!$F:$F,'72期 元データ'!$B:$B,採用費管理表!$A$27,'72期 元データ'!$D:$D,採用費管理表!$B36,'72期 元データ'!$A:$A,"&gt;=2023/8/1",'72期 元データ'!$A:$A,"&lt;=2023/8/31")</f>
        <v>0</v>
      </c>
      <c r="I36" s="52">
        <f>SUMIFS('72期 元データ'!$F:$F,'72期 元データ'!$B:$B,採用費管理表!$A$27,'72期 元データ'!$D:$D,採用費管理表!$B36,'72期 元データ'!$A:$A,"&gt;=2023/9/1",'72期 元データ'!$A:$A,"&lt;=2023/9/30")</f>
        <v>0</v>
      </c>
      <c r="J36" s="52">
        <f>SUMIFS('72期 元データ'!$F:$F,'72期 元データ'!$B:$B,採用費管理表!$A$27,'72期 元データ'!$D:$D,採用費管理表!$B36,'72期 元データ'!$A:$A,"&gt;=2023/10/1",'72期 元データ'!$A:$A,"&lt;=2023/10/31")</f>
        <v>0</v>
      </c>
      <c r="K36" s="52">
        <f>SUMIFS('72期 元データ'!$F:$F,'72期 元データ'!$B:$B,採用費管理表!$A$27,'72期 元データ'!$D:$D,採用費管理表!$B36,'72期 元データ'!$A:$A,"&gt;=2023/11/1",'72期 元データ'!$A:$A,"&lt;=2023/11/30")</f>
        <v>0</v>
      </c>
      <c r="L36" s="52">
        <f>SUMIFS('72期 元データ'!$F:$F,'72期 元データ'!$B:$B,採用費管理表!$A$27,'72期 元データ'!$D:$D,採用費管理表!$B36,'72期 元データ'!$A:$A,"&gt;=2023/12/1",'72期 元データ'!$A:$A,"&lt;=2023/12/31")</f>
        <v>0</v>
      </c>
      <c r="M36" s="52">
        <f>SUMIFS('72期 元データ'!$F:$F,'72期 元データ'!$B:$B,採用費管理表!$A$27,'72期 元データ'!$D:$D,採用費管理表!$B36,'72期 元データ'!$A:$A,"&gt;=2024/1/1",'72期 元データ'!$A:$A,"&lt;=2024/1/31")</f>
        <v>0</v>
      </c>
      <c r="N36" s="52">
        <f>SUMIFS('72期 元データ'!$F:$F,'72期 元データ'!$B:$B,採用費管理表!$A$27,'72期 元データ'!$D:$D,採用費管理表!$B36,'72期 元データ'!$A:$A,"&gt;=2024/2/1",'72期 元データ'!$A:$A,"&lt;=2024/2/29")</f>
        <v>0</v>
      </c>
      <c r="O36" s="52">
        <f>SUMIFS('72期 元データ'!$F:$F,'72期 元データ'!$B:$B,採用費管理表!$A$27,'72期 元データ'!$D:$D,採用費管理表!$B36,'72期 元データ'!$A:$A,"&gt;=2024/3/1",'72期 元データ'!$A:$A,"&lt;=2024/3/31")</f>
        <v>0</v>
      </c>
      <c r="P36" s="43">
        <f t="shared" si="1"/>
        <v>0</v>
      </c>
    </row>
    <row r="37" spans="1:16" ht="17.25" customHeight="1">
      <c r="A37" s="158"/>
      <c r="B37" s="163"/>
      <c r="C37" s="44" t="s">
        <v>31</v>
      </c>
      <c r="D37" s="45">
        <v>0</v>
      </c>
      <c r="E37" s="45">
        <v>0</v>
      </c>
      <c r="F37" s="45">
        <v>0</v>
      </c>
      <c r="G37" s="45">
        <v>0</v>
      </c>
      <c r="H37" s="45">
        <v>0</v>
      </c>
      <c r="I37" s="45">
        <v>0</v>
      </c>
      <c r="J37" s="45">
        <v>0</v>
      </c>
      <c r="K37" s="45">
        <v>0</v>
      </c>
      <c r="L37" s="45">
        <v>1000000</v>
      </c>
      <c r="M37" s="45">
        <v>0</v>
      </c>
      <c r="N37" s="45">
        <v>0</v>
      </c>
      <c r="O37" s="45">
        <v>0</v>
      </c>
      <c r="P37" s="46">
        <f t="shared" si="1"/>
        <v>1000000</v>
      </c>
    </row>
    <row r="38" spans="1:16" ht="17.25" customHeight="1">
      <c r="A38" s="158"/>
      <c r="B38" s="163"/>
      <c r="C38" s="25" t="s">
        <v>16</v>
      </c>
      <c r="D38" s="12">
        <v>0</v>
      </c>
      <c r="E38" s="12">
        <v>0</v>
      </c>
      <c r="F38" s="12">
        <v>0</v>
      </c>
      <c r="G38" s="12">
        <v>0</v>
      </c>
      <c r="H38" s="12">
        <v>0</v>
      </c>
      <c r="I38" s="12">
        <v>0</v>
      </c>
      <c r="J38" s="12">
        <v>0</v>
      </c>
      <c r="K38" s="12">
        <v>0</v>
      </c>
      <c r="L38" s="12">
        <v>0</v>
      </c>
      <c r="M38" s="12">
        <v>0</v>
      </c>
      <c r="N38" s="12">
        <v>0</v>
      </c>
      <c r="O38" s="12">
        <v>0</v>
      </c>
      <c r="P38" s="13">
        <f t="shared" si="1"/>
        <v>0</v>
      </c>
    </row>
    <row r="39" spans="1:16" ht="17.25" customHeight="1">
      <c r="A39" s="158"/>
      <c r="B39" s="163" t="s">
        <v>49</v>
      </c>
      <c r="C39" s="26" t="s">
        <v>41</v>
      </c>
      <c r="D39" s="52">
        <f>SUMIFS('72期 元データ'!$F:$F,'72期 元データ'!$B:$B,採用費管理表!$A$27,'72期 元データ'!$D:$D,採用費管理表!$B39,'72期 元データ'!$A:$A,"&gt;=2023/4/1",'72期 元データ'!$A:$A,"&lt;=2023/4/30")</f>
        <v>0</v>
      </c>
      <c r="E39" s="52">
        <f>SUMIFS('72期 元データ'!$F:$F,'72期 元データ'!$B:$B,採用費管理表!$A$27,'72期 元データ'!$D:$D,採用費管理表!$B39,'72期 元データ'!$A:$A,"&gt;=2023/5/1",'72期 元データ'!$A:$A,"&lt;=2023/5/31")</f>
        <v>0</v>
      </c>
      <c r="F39" s="52">
        <f>SUMIFS('72期 元データ'!$F:$F,'72期 元データ'!$B:$B,採用費管理表!$A$27,'72期 元データ'!$D:$D,採用費管理表!$B39,'72期 元データ'!$A:$A,"&gt;=2023/6/1",'72期 元データ'!$A:$A,"&lt;=2023/6/30")</f>
        <v>0</v>
      </c>
      <c r="G39" s="52">
        <f>SUMIFS('72期 元データ'!$F:$F,'72期 元データ'!$B:$B,採用費管理表!$A$27,'72期 元データ'!$D:$D,採用費管理表!$B39,'72期 元データ'!$A:$A,"&gt;=2023/7/1",'72期 元データ'!$A:$A,"&lt;=2023/7/31")</f>
        <v>0</v>
      </c>
      <c r="H39" s="52">
        <f>SUMIFS('72期 元データ'!$F:$F,'72期 元データ'!$B:$B,採用費管理表!$A$27,'72期 元データ'!$D:$D,採用費管理表!$B39,'72期 元データ'!$A:$A,"&gt;=2023/8/1",'72期 元データ'!$A:$A,"&lt;=2023/8/31")</f>
        <v>0</v>
      </c>
      <c r="I39" s="52">
        <f>SUMIFS('72期 元データ'!$F:$F,'72期 元データ'!$B:$B,採用費管理表!$A$27,'72期 元データ'!$D:$D,採用費管理表!$B39,'72期 元データ'!$A:$A,"&gt;=2023/9/1",'72期 元データ'!$A:$A,"&lt;=2023/9/30")</f>
        <v>0</v>
      </c>
      <c r="J39" s="52">
        <f>SUMIFS('72期 元データ'!$F:$F,'72期 元データ'!$B:$B,採用費管理表!$A$27,'72期 元データ'!$D:$D,採用費管理表!$B39,'72期 元データ'!$A:$A,"&gt;=2023/10/1",'72期 元データ'!$A:$A,"&lt;=2023/10/31")</f>
        <v>0</v>
      </c>
      <c r="K39" s="52">
        <f>SUMIFS('72期 元データ'!$F:$F,'72期 元データ'!$B:$B,採用費管理表!$A$27,'72期 元データ'!$D:$D,採用費管理表!$B39,'72期 元データ'!$A:$A,"&gt;=2023/11/1",'72期 元データ'!$A:$A,"&lt;=2023/11/30")</f>
        <v>0</v>
      </c>
      <c r="L39" s="52">
        <f>SUMIFS('72期 元データ'!$F:$F,'72期 元データ'!$B:$B,採用費管理表!$A$27,'72期 元データ'!$D:$D,採用費管理表!$B39,'72期 元データ'!$A:$A,"&gt;=2023/12/1",'72期 元データ'!$A:$A,"&lt;=2023/12/31")</f>
        <v>0</v>
      </c>
      <c r="M39" s="52">
        <f>SUMIFS('72期 元データ'!$F:$F,'72期 元データ'!$B:$B,採用費管理表!$A$27,'72期 元データ'!$D:$D,採用費管理表!$B39,'72期 元データ'!$A:$A,"&gt;=2024/1/1",'72期 元データ'!$A:$A,"&lt;=2024/1/31")</f>
        <v>0</v>
      </c>
      <c r="N39" s="52">
        <f>SUMIFS('72期 元データ'!$F:$F,'72期 元データ'!$B:$B,採用費管理表!$A$27,'72期 元データ'!$D:$D,採用費管理表!$B39,'72期 元データ'!$A:$A,"&gt;=2024/2/1",'72期 元データ'!$A:$A,"&lt;=2024/2/29")</f>
        <v>0</v>
      </c>
      <c r="O39" s="52">
        <f>SUMIFS('72期 元データ'!$F:$F,'72期 元データ'!$B:$B,採用費管理表!$A$27,'72期 元データ'!$D:$D,採用費管理表!$B39,'72期 元データ'!$A:$A,"&gt;=2024/3/1",'72期 元データ'!$A:$A,"&lt;=2024/3/31")</f>
        <v>0</v>
      </c>
      <c r="P39" s="43">
        <f t="shared" si="1"/>
        <v>0</v>
      </c>
    </row>
    <row r="40" spans="1:16" ht="17.25" customHeight="1">
      <c r="A40" s="158"/>
      <c r="B40" s="163"/>
      <c r="C40" s="44" t="s">
        <v>31</v>
      </c>
      <c r="D40" s="45">
        <v>11480</v>
      </c>
      <c r="E40" s="45">
        <v>13050</v>
      </c>
      <c r="F40" s="45">
        <v>78972</v>
      </c>
      <c r="G40" s="45">
        <v>18092</v>
      </c>
      <c r="H40" s="45">
        <v>21120</v>
      </c>
      <c r="I40" s="45">
        <v>0</v>
      </c>
      <c r="J40" s="45">
        <v>33200</v>
      </c>
      <c r="K40" s="45">
        <v>0</v>
      </c>
      <c r="L40" s="45">
        <v>0</v>
      </c>
      <c r="M40" s="45">
        <v>23276</v>
      </c>
      <c r="N40" s="45">
        <v>23280</v>
      </c>
      <c r="O40" s="45">
        <v>0</v>
      </c>
      <c r="P40" s="46">
        <f t="shared" si="1"/>
        <v>222470</v>
      </c>
    </row>
    <row r="41" spans="1:16" ht="17.25" customHeight="1">
      <c r="A41" s="158"/>
      <c r="B41" s="163"/>
      <c r="C41" s="54" t="s">
        <v>16</v>
      </c>
      <c r="D41" s="55">
        <v>0</v>
      </c>
      <c r="E41" s="55">
        <v>0</v>
      </c>
      <c r="F41" s="55">
        <v>0</v>
      </c>
      <c r="G41" s="55">
        <v>0</v>
      </c>
      <c r="H41" s="55">
        <v>0</v>
      </c>
      <c r="I41" s="55">
        <v>0</v>
      </c>
      <c r="J41" s="55">
        <v>67560</v>
      </c>
      <c r="K41" s="55">
        <v>0</v>
      </c>
      <c r="L41" s="55">
        <v>41710</v>
      </c>
      <c r="M41" s="55">
        <v>65180</v>
      </c>
      <c r="N41" s="55">
        <v>0</v>
      </c>
      <c r="O41" s="55">
        <v>0</v>
      </c>
      <c r="P41" s="56">
        <f t="shared" si="1"/>
        <v>174450</v>
      </c>
    </row>
    <row r="42" spans="1:16" ht="17.25" customHeight="1">
      <c r="A42" s="159" t="s">
        <v>46</v>
      </c>
      <c r="B42" s="165" t="s">
        <v>52</v>
      </c>
      <c r="C42" s="26" t="s">
        <v>41</v>
      </c>
      <c r="D42" s="52">
        <f>SUMIFS('72期 元データ'!$F:$F,'72期 元データ'!$B:$B,採用費管理表!$A$42,'72期 元データ'!$D:$D,採用費管理表!$B42,'72期 元データ'!$A:$A,"&gt;=2023/4/1",'72期 元データ'!$A:$A,"&lt;=2023/4/30")</f>
        <v>0</v>
      </c>
      <c r="E42" s="52">
        <f>SUMIFS('72期 元データ'!$F:$F,'72期 元データ'!$B:$B,採用費管理表!$A$42,'72期 元データ'!$D:$D,採用費管理表!$B42,'72期 元データ'!$A:$A,"&gt;=2023/5/1",'72期 元データ'!$A:$A,"&lt;=2023/5/31")</f>
        <v>0</v>
      </c>
      <c r="F42" s="52">
        <f>SUMIFS('72期 元データ'!$F:$F,'72期 元データ'!$B:$B,採用費管理表!$A$42,'72期 元データ'!$D:$D,採用費管理表!$B42,'72期 元データ'!$A:$A,"&gt;=2023/6/1",'72期 元データ'!$A:$A,"&lt;=2023/6/30")</f>
        <v>0</v>
      </c>
      <c r="G42" s="52">
        <f>SUMIFS('72期 元データ'!$F:$F,'72期 元データ'!$B:$B,採用費管理表!$A$42,'72期 元データ'!$D:$D,採用費管理表!$B42,'72期 元データ'!$A:$A,"&gt;=2023/7/1",'72期 元データ'!$A:$A,"&lt;=2023/7/31")</f>
        <v>0</v>
      </c>
      <c r="H42" s="52">
        <f>SUMIFS('72期 元データ'!$F:$F,'72期 元データ'!$B:$B,採用費管理表!$A$42,'72期 元データ'!$D:$D,採用費管理表!$B42,'72期 元データ'!$A:$A,"&gt;=2023/8/1",'72期 元データ'!$A:$A,"&lt;=2023/8/31")</f>
        <v>0</v>
      </c>
      <c r="I42" s="52">
        <f>SUMIFS('72期 元データ'!$F:$F,'72期 元データ'!$B:$B,採用費管理表!$A$42,'72期 元データ'!$D:$D,採用費管理表!$B42,'72期 元データ'!$A:$A,"&gt;=2023/9/1",'72期 元データ'!$A:$A,"&lt;=2023/9/30")</f>
        <v>0</v>
      </c>
      <c r="J42" s="52">
        <f>SUMIFS('72期 元データ'!$F:$F,'72期 元データ'!$B:$B,採用費管理表!$A$42,'72期 元データ'!$D:$D,採用費管理表!$B42,'72期 元データ'!$A:$A,"&gt;=2023/10/1",'72期 元データ'!$A:$A,"&lt;=2023/10/31")</f>
        <v>0</v>
      </c>
      <c r="K42" s="52">
        <f>SUMIFS('72期 元データ'!$F:$F,'72期 元データ'!$B:$B,採用費管理表!$A$42,'72期 元データ'!$D:$D,採用費管理表!$B42,'72期 元データ'!$A:$A,"&gt;=2023/11/1",'72期 元データ'!$A:$A,"&lt;=2023/11/30")</f>
        <v>0</v>
      </c>
      <c r="L42" s="52">
        <f>SUMIFS('72期 元データ'!$F:$F,'72期 元データ'!$B:$B,採用費管理表!$A$42,'72期 元データ'!$D:$D,採用費管理表!$B42,'72期 元データ'!$A:$A,"&gt;=2023/12/1",'72期 元データ'!$A:$A,"&lt;=2023/12/31")</f>
        <v>0</v>
      </c>
      <c r="M42" s="52">
        <f>SUMIFS('72期 元データ'!$F:$F,'72期 元データ'!$B:$B,採用費管理表!$A$42,'72期 元データ'!$D:$D,採用費管理表!$B42,'72期 元データ'!$A:$A,"&gt;=2024/1/1",'72期 元データ'!$A:$A,"&lt;=2024/1/31")</f>
        <v>0</v>
      </c>
      <c r="N42" s="52">
        <f>SUMIFS('72期 元データ'!$F:$F,'72期 元データ'!$B:$B,採用費管理表!$A$42,'72期 元データ'!$D:$D,採用費管理表!$B42,'72期 元データ'!$A:$A,"&gt;=2024/2/1",'72期 元データ'!$A:$A,"&lt;=2024/2/29")</f>
        <v>0</v>
      </c>
      <c r="O42" s="52">
        <f>SUMIFS('72期 元データ'!$F:$F,'72期 元データ'!$B:$B,採用費管理表!$A$42,'72期 元データ'!$D:$D,採用費管理表!$B42,'72期 元データ'!$A:$A,"&gt;=2024/3/1",'72期 元データ'!$A:$A,"&lt;=2024/3/31")</f>
        <v>0</v>
      </c>
      <c r="P42" s="53">
        <f t="shared" si="1"/>
        <v>0</v>
      </c>
    </row>
    <row r="43" spans="1:16" ht="17.25" customHeight="1">
      <c r="A43" s="159"/>
      <c r="B43" s="165"/>
      <c r="C43" s="44" t="s">
        <v>31</v>
      </c>
      <c r="D43" s="45">
        <v>104500</v>
      </c>
      <c r="E43" s="45">
        <v>50600</v>
      </c>
      <c r="F43" s="45">
        <v>559900</v>
      </c>
      <c r="G43" s="45">
        <v>104500</v>
      </c>
      <c r="H43" s="45">
        <v>658900</v>
      </c>
      <c r="I43" s="45">
        <v>1630200</v>
      </c>
      <c r="J43" s="45">
        <v>1914000</v>
      </c>
      <c r="K43" s="45">
        <v>308000</v>
      </c>
      <c r="L43" s="45">
        <v>440000</v>
      </c>
      <c r="M43" s="45">
        <v>0</v>
      </c>
      <c r="N43" s="45">
        <v>264000</v>
      </c>
      <c r="O43" s="45">
        <v>176000</v>
      </c>
      <c r="P43" s="46">
        <f t="shared" si="1"/>
        <v>6210600</v>
      </c>
    </row>
    <row r="44" spans="1:16" ht="17.25" customHeight="1">
      <c r="A44" s="159"/>
      <c r="B44" s="165"/>
      <c r="C44" s="25" t="s">
        <v>16</v>
      </c>
      <c r="D44" s="12">
        <v>0</v>
      </c>
      <c r="E44" s="12">
        <v>99000</v>
      </c>
      <c r="F44" s="12">
        <v>154000</v>
      </c>
      <c r="G44" s="12">
        <v>176000</v>
      </c>
      <c r="H44" s="12">
        <v>149875</v>
      </c>
      <c r="I44" s="12">
        <v>170500</v>
      </c>
      <c r="J44" s="12">
        <v>302500</v>
      </c>
      <c r="K44" s="12">
        <v>261250</v>
      </c>
      <c r="L44" s="12">
        <v>22000</v>
      </c>
      <c r="M44" s="12">
        <v>514893</v>
      </c>
      <c r="N44" s="12">
        <v>220000</v>
      </c>
      <c r="O44" s="12">
        <v>0</v>
      </c>
      <c r="P44" s="13">
        <f t="shared" si="1"/>
        <v>2070018</v>
      </c>
    </row>
    <row r="45" spans="1:16" ht="17.25" customHeight="1">
      <c r="A45" s="159"/>
      <c r="B45" s="165" t="s">
        <v>56</v>
      </c>
      <c r="C45" s="26" t="s">
        <v>41</v>
      </c>
      <c r="D45" s="52">
        <f>SUMIFS('72期 元データ'!$F:$F,'72期 元データ'!$B:$B,採用費管理表!$A$42,'72期 元データ'!$D:$D,採用費管理表!$B45,'72期 元データ'!$A:$A,"&gt;=2023/4/1",'72期 元データ'!$A:$A,"&lt;=2023/4/30")</f>
        <v>0</v>
      </c>
      <c r="E45" s="52">
        <f>SUMIFS('72期 元データ'!$F:$F,'72期 元データ'!$B:$B,採用費管理表!$A$42,'72期 元データ'!$D:$D,採用費管理表!$B45,'72期 元データ'!$A:$A,"&gt;=2023/5/1",'72期 元データ'!$A:$A,"&lt;=2023/5/31")</f>
        <v>0</v>
      </c>
      <c r="F45" s="52">
        <f>SUMIFS('72期 元データ'!$F:$F,'72期 元データ'!$B:$B,採用費管理表!$A$42,'72期 元データ'!$D:$D,採用費管理表!$B45,'72期 元データ'!$A:$A,"&gt;=2023/6/1",'72期 元データ'!$A:$A,"&lt;=2023/6/30")</f>
        <v>0</v>
      </c>
      <c r="G45" s="52">
        <f>SUMIFS('72期 元データ'!$F:$F,'72期 元データ'!$B:$B,採用費管理表!$A$42,'72期 元データ'!$D:$D,採用費管理表!$B45,'72期 元データ'!$A:$A,"&gt;=2023/7/1",'72期 元データ'!$A:$A,"&lt;=2023/7/31")</f>
        <v>0</v>
      </c>
      <c r="H45" s="52">
        <f>SUMIFS('72期 元データ'!$F:$F,'72期 元データ'!$B:$B,採用費管理表!$A$42,'72期 元データ'!$D:$D,採用費管理表!$B45,'72期 元データ'!$A:$A,"&gt;=2023/8/1",'72期 元データ'!$A:$A,"&lt;=2023/8/31")</f>
        <v>0</v>
      </c>
      <c r="I45" s="52">
        <f>SUMIFS('72期 元データ'!$F:$F,'72期 元データ'!$B:$B,採用費管理表!$A$42,'72期 元データ'!$D:$D,採用費管理表!$B45,'72期 元データ'!$A:$A,"&gt;=2023/9/1",'72期 元データ'!$A:$A,"&lt;=2023/9/30")</f>
        <v>0</v>
      </c>
      <c r="J45" s="52">
        <f>SUMIFS('72期 元データ'!$F:$F,'72期 元データ'!$B:$B,採用費管理表!$A$42,'72期 元データ'!$D:$D,採用費管理表!$B45,'72期 元データ'!$A:$A,"&gt;=2023/10/1",'72期 元データ'!$A:$A,"&lt;=2023/10/31")</f>
        <v>0</v>
      </c>
      <c r="K45" s="52">
        <f>SUMIFS('72期 元データ'!$F:$F,'72期 元データ'!$B:$B,採用費管理表!$A$42,'72期 元データ'!$D:$D,採用費管理表!$B45,'72期 元データ'!$A:$A,"&gt;=2023/11/1",'72期 元データ'!$A:$A,"&lt;=2023/11/30")</f>
        <v>0</v>
      </c>
      <c r="L45" s="52">
        <f>SUMIFS('72期 元データ'!$F:$F,'72期 元データ'!$B:$B,採用費管理表!$A$42,'72期 元データ'!$D:$D,採用費管理表!$B45,'72期 元データ'!$A:$A,"&gt;=2023/12/1",'72期 元データ'!$A:$A,"&lt;=2023/12/31")</f>
        <v>0</v>
      </c>
      <c r="M45" s="52">
        <f>SUMIFS('72期 元データ'!$F:$F,'72期 元データ'!$B:$B,採用費管理表!$A$42,'72期 元データ'!$D:$D,採用費管理表!$B45,'72期 元データ'!$A:$A,"&gt;=2024/1/1",'72期 元データ'!$A:$A,"&lt;=2024/1/31")</f>
        <v>0</v>
      </c>
      <c r="N45" s="52">
        <f>SUMIFS('72期 元データ'!$F:$F,'72期 元データ'!$B:$B,採用費管理表!$A$42,'72期 元データ'!$D:$D,採用費管理表!$B45,'72期 元データ'!$A:$A,"&gt;=2024/2/1",'72期 元データ'!$A:$A,"&lt;=2024/2/29")</f>
        <v>0</v>
      </c>
      <c r="O45" s="52">
        <f>SUMIFS('72期 元データ'!$F:$F,'72期 元データ'!$B:$B,採用費管理表!$A$42,'72期 元データ'!$D:$D,採用費管理表!$B45,'72期 元データ'!$A:$A,"&gt;=2024/3/1",'72期 元データ'!$A:$A,"&lt;=2024/3/31")</f>
        <v>0</v>
      </c>
      <c r="P45" s="43">
        <f t="shared" si="1"/>
        <v>0</v>
      </c>
    </row>
    <row r="46" spans="1:16" ht="17.25" customHeight="1">
      <c r="A46" s="159"/>
      <c r="B46" s="165"/>
      <c r="C46" s="44" t="s">
        <v>31</v>
      </c>
      <c r="D46" s="45">
        <v>0</v>
      </c>
      <c r="E46" s="45">
        <v>0</v>
      </c>
      <c r="F46" s="45">
        <v>0</v>
      </c>
      <c r="G46" s="45">
        <v>0</v>
      </c>
      <c r="H46" s="45">
        <v>0</v>
      </c>
      <c r="I46" s="45">
        <v>0</v>
      </c>
      <c r="J46" s="45">
        <v>0</v>
      </c>
      <c r="K46" s="45">
        <v>0</v>
      </c>
      <c r="L46" s="45">
        <v>0</v>
      </c>
      <c r="M46" s="45">
        <v>0</v>
      </c>
      <c r="N46" s="45">
        <v>0</v>
      </c>
      <c r="O46" s="45">
        <v>0</v>
      </c>
      <c r="P46" s="46">
        <f t="shared" si="1"/>
        <v>0</v>
      </c>
    </row>
    <row r="47" spans="1:16" ht="17.25" customHeight="1">
      <c r="A47" s="159"/>
      <c r="B47" s="165"/>
      <c r="C47" s="25" t="s">
        <v>16</v>
      </c>
      <c r="D47" s="12">
        <v>0</v>
      </c>
      <c r="E47" s="12">
        <v>0</v>
      </c>
      <c r="F47" s="12">
        <v>0</v>
      </c>
      <c r="G47" s="12">
        <v>0</v>
      </c>
      <c r="H47" s="12">
        <v>0</v>
      </c>
      <c r="I47" s="12">
        <v>0</v>
      </c>
      <c r="J47" s="12">
        <v>0</v>
      </c>
      <c r="K47" s="12">
        <v>0</v>
      </c>
      <c r="L47" s="12">
        <v>0</v>
      </c>
      <c r="M47" s="12">
        <v>0</v>
      </c>
      <c r="N47" s="12">
        <v>0</v>
      </c>
      <c r="O47" s="12">
        <v>0</v>
      </c>
      <c r="P47" s="13">
        <f t="shared" si="1"/>
        <v>0</v>
      </c>
    </row>
    <row r="48" spans="1:16" ht="17.25" customHeight="1">
      <c r="A48" s="159"/>
      <c r="B48" s="165" t="s">
        <v>59</v>
      </c>
      <c r="C48" s="26" t="s">
        <v>41</v>
      </c>
      <c r="D48" s="52">
        <f>SUMIFS('72期 元データ'!$F:$F,'72期 元データ'!$B:$B,採用費管理表!$A$42,'72期 元データ'!$D:$D,採用費管理表!$B48,'72期 元データ'!$A:$A,"&gt;=2023/4/1",'72期 元データ'!$A:$A,"&lt;=2023/4/30")</f>
        <v>0</v>
      </c>
      <c r="E48" s="52">
        <f>SUMIFS('72期 元データ'!$F:$F,'72期 元データ'!$B:$B,採用費管理表!$A$42,'72期 元データ'!$D:$D,採用費管理表!$B48,'72期 元データ'!$A:$A,"&gt;=2023/5/1",'72期 元データ'!$A:$A,"&lt;=2023/5/31")</f>
        <v>0</v>
      </c>
      <c r="F48" s="52">
        <f>SUMIFS('72期 元データ'!$F:$F,'72期 元データ'!$B:$B,採用費管理表!$A$42,'72期 元データ'!$D:$D,採用費管理表!$B48,'72期 元データ'!$A:$A,"&gt;=2023/6/1",'72期 元データ'!$A:$A,"&lt;=2023/6/30")</f>
        <v>0</v>
      </c>
      <c r="G48" s="52">
        <f>SUMIFS('72期 元データ'!$F:$F,'72期 元データ'!$B:$B,採用費管理表!$A$42,'72期 元データ'!$D:$D,採用費管理表!$B48,'72期 元データ'!$A:$A,"&gt;=2023/7/1",'72期 元データ'!$A:$A,"&lt;=2023/7/31")</f>
        <v>0</v>
      </c>
      <c r="H48" s="52">
        <f>SUMIFS('72期 元データ'!$F:$F,'72期 元データ'!$B:$B,採用費管理表!$A$42,'72期 元データ'!$D:$D,採用費管理表!$B48,'72期 元データ'!$A:$A,"&gt;=2023/8/1",'72期 元データ'!$A:$A,"&lt;=2023/8/31")</f>
        <v>0</v>
      </c>
      <c r="I48" s="52">
        <f>SUMIFS('72期 元データ'!$F:$F,'72期 元データ'!$B:$B,採用費管理表!$A$42,'72期 元データ'!$D:$D,採用費管理表!$B48,'72期 元データ'!$A:$A,"&gt;=2023/9/1",'72期 元データ'!$A:$A,"&lt;=2023/9/30")</f>
        <v>0</v>
      </c>
      <c r="J48" s="52">
        <f>SUMIFS('72期 元データ'!$F:$F,'72期 元データ'!$B:$B,採用費管理表!$A$42,'72期 元データ'!$D:$D,採用費管理表!$B48,'72期 元データ'!$A:$A,"&gt;=2023/10/1",'72期 元データ'!$A:$A,"&lt;=2023/10/31")</f>
        <v>0</v>
      </c>
      <c r="K48" s="52">
        <f>SUMIFS('72期 元データ'!$F:$F,'72期 元データ'!$B:$B,採用費管理表!$A$42,'72期 元データ'!$D:$D,採用費管理表!$B48,'72期 元データ'!$A:$A,"&gt;=2023/11/1",'72期 元データ'!$A:$A,"&lt;=2023/11/30")</f>
        <v>0</v>
      </c>
      <c r="L48" s="52">
        <f>SUMIFS('72期 元データ'!$F:$F,'72期 元データ'!$B:$B,採用費管理表!$A$42,'72期 元データ'!$D:$D,採用費管理表!$B48,'72期 元データ'!$A:$A,"&gt;=2023/12/1",'72期 元データ'!$A:$A,"&lt;=2023/12/31")</f>
        <v>0</v>
      </c>
      <c r="M48" s="52">
        <f>SUMIFS('72期 元データ'!$F:$F,'72期 元データ'!$B:$B,採用費管理表!$A$42,'72期 元データ'!$D:$D,採用費管理表!$B48,'72期 元データ'!$A:$A,"&gt;=2024/1/1",'72期 元データ'!$A:$A,"&lt;=2024/1/31")</f>
        <v>0</v>
      </c>
      <c r="N48" s="52">
        <f>SUMIFS('72期 元データ'!$F:$F,'72期 元データ'!$B:$B,採用費管理表!$A$42,'72期 元データ'!$D:$D,採用費管理表!$B48,'72期 元データ'!$A:$A,"&gt;=2024/2/1",'72期 元データ'!$A:$A,"&lt;=2024/2/29")</f>
        <v>0</v>
      </c>
      <c r="O48" s="52">
        <f>SUMIFS('72期 元データ'!$F:$F,'72期 元データ'!$B:$B,採用費管理表!$A$42,'72期 元データ'!$D:$D,採用費管理表!$B48,'72期 元データ'!$A:$A,"&gt;=2024/3/1",'72期 元データ'!$A:$A,"&lt;=2024/3/31")</f>
        <v>0</v>
      </c>
      <c r="P48" s="43">
        <f t="shared" si="1"/>
        <v>0</v>
      </c>
    </row>
    <row r="49" spans="1:16" ht="17.25" customHeight="1">
      <c r="A49" s="159"/>
      <c r="B49" s="165"/>
      <c r="C49" s="44" t="s">
        <v>31</v>
      </c>
      <c r="D49" s="45">
        <v>264000</v>
      </c>
      <c r="E49" s="45">
        <v>0</v>
      </c>
      <c r="F49" s="45">
        <v>409000</v>
      </c>
      <c r="G49" s="45">
        <v>1227000</v>
      </c>
      <c r="H49" s="45">
        <v>1636000</v>
      </c>
      <c r="I49" s="45">
        <v>0</v>
      </c>
      <c r="J49" s="45">
        <v>0</v>
      </c>
      <c r="K49" s="45">
        <v>0</v>
      </c>
      <c r="L49" s="45">
        <v>0</v>
      </c>
      <c r="M49" s="45">
        <v>776160</v>
      </c>
      <c r="N49" s="45">
        <v>0</v>
      </c>
      <c r="O49" s="45">
        <v>0</v>
      </c>
      <c r="P49" s="46">
        <f t="shared" si="1"/>
        <v>4312160</v>
      </c>
    </row>
    <row r="50" spans="1:16" ht="17.25" customHeight="1">
      <c r="A50" s="159"/>
      <c r="B50" s="165"/>
      <c r="C50" s="54" t="s">
        <v>16</v>
      </c>
      <c r="D50" s="55">
        <v>0</v>
      </c>
      <c r="E50" s="55">
        <v>0</v>
      </c>
      <c r="F50" s="55">
        <v>0</v>
      </c>
      <c r="G50" s="55">
        <v>0</v>
      </c>
      <c r="H50" s="55">
        <v>0</v>
      </c>
      <c r="I50" s="55">
        <v>0</v>
      </c>
      <c r="J50" s="55">
        <v>0</v>
      </c>
      <c r="K50" s="55">
        <v>164269</v>
      </c>
      <c r="L50" s="55">
        <v>2750550</v>
      </c>
      <c r="M50" s="55">
        <v>0</v>
      </c>
      <c r="N50" s="55">
        <v>264000</v>
      </c>
      <c r="O50" s="55">
        <v>0</v>
      </c>
      <c r="P50" s="56">
        <f t="shared" si="1"/>
        <v>3178819</v>
      </c>
    </row>
    <row r="51" spans="1:16" ht="17.25" customHeight="1">
      <c r="A51" s="160" t="s">
        <v>47</v>
      </c>
      <c r="B51" s="162" t="s">
        <v>60</v>
      </c>
      <c r="C51" s="26" t="s">
        <v>41</v>
      </c>
      <c r="D51" s="52">
        <f>SUMIFS('72期 元データ'!$F:$F,'72期 元データ'!$B:$B,採用費管理表!$A$51,'72期 元データ'!$D:$D,採用費管理表!$B51,'72期 元データ'!$A:$A,"&gt;=2023/4/1",'72期 元データ'!$A:$A,"&lt;=2023/4/30")</f>
        <v>0</v>
      </c>
      <c r="E51" s="52">
        <f>SUMIFS('72期 元データ'!$F:$F,'72期 元データ'!$B:$B,採用費管理表!$A$51,'72期 元データ'!$D:$D,採用費管理表!$B51,'72期 元データ'!$A:$A,"&gt;=2023/5/1",'72期 元データ'!$A:$A,"&lt;=2023/5/31")</f>
        <v>0</v>
      </c>
      <c r="F51" s="52">
        <f>SUMIFS('72期 元データ'!$F:$F,'72期 元データ'!$B:$B,採用費管理表!$A$51,'72期 元データ'!$D:$D,採用費管理表!$B51,'72期 元データ'!$A:$A,"&gt;=2023/6/1",'72期 元データ'!$A:$A,"&lt;=2023/6/30")</f>
        <v>0</v>
      </c>
      <c r="G51" s="52">
        <f>SUMIFS('72期 元データ'!$F:$F,'72期 元データ'!$B:$B,採用費管理表!$A$51,'72期 元データ'!$D:$D,採用費管理表!$B51,'72期 元データ'!$A:$A,"&gt;=2023/7/1",'72期 元データ'!$A:$A,"&lt;=2023/7/31")</f>
        <v>0</v>
      </c>
      <c r="H51" s="52">
        <f>SUMIFS('72期 元データ'!$F:$F,'72期 元データ'!$B:$B,採用費管理表!$A$51,'72期 元データ'!$D:$D,採用費管理表!$B51,'72期 元データ'!$A:$A,"&gt;=2023/8/1",'72期 元データ'!$A:$A,"&lt;=2023/8/31")</f>
        <v>0</v>
      </c>
      <c r="I51" s="52">
        <f>SUMIFS('72期 元データ'!$F:$F,'72期 元データ'!$B:$B,採用費管理表!$A$51,'72期 元データ'!$D:$D,採用費管理表!$B51,'72期 元データ'!$A:$A,"&gt;=2023/9/1",'72期 元データ'!$A:$A,"&lt;=2023/9/30")</f>
        <v>0</v>
      </c>
      <c r="J51" s="52">
        <f>SUMIFS('72期 元データ'!$F:$F,'72期 元データ'!$B:$B,採用費管理表!$A$51,'72期 元データ'!$D:$D,採用費管理表!$B51,'72期 元データ'!$A:$A,"&gt;=2023/10/1",'72期 元データ'!$A:$A,"&lt;=2023/10/31")</f>
        <v>0</v>
      </c>
      <c r="K51" s="52">
        <f>SUMIFS('72期 元データ'!$F:$F,'72期 元データ'!$B:$B,採用費管理表!$A$51,'72期 元データ'!$D:$D,採用費管理表!$B51,'72期 元データ'!$A:$A,"&gt;=2023/11/1",'72期 元データ'!$A:$A,"&lt;=2023/11/30")</f>
        <v>0</v>
      </c>
      <c r="L51" s="52">
        <f>SUMIFS('72期 元データ'!$F:$F,'72期 元データ'!$B:$B,採用費管理表!$A$51,'72期 元データ'!$D:$D,採用費管理表!$B51,'72期 元データ'!$A:$A,"&gt;=2023/12/1",'72期 元データ'!$A:$A,"&lt;=2023/12/31")</f>
        <v>0</v>
      </c>
      <c r="M51" s="52">
        <f>SUMIFS('72期 元データ'!$F:$F,'72期 元データ'!$B:$B,採用費管理表!$A$51,'72期 元データ'!$D:$D,採用費管理表!$B51,'72期 元データ'!$A:$A,"&gt;=2024/1/1",'72期 元データ'!$A:$A,"&lt;=2024/1/31")</f>
        <v>0</v>
      </c>
      <c r="N51" s="52">
        <f>SUMIFS('72期 元データ'!$F:$F,'72期 元データ'!$B:$B,採用費管理表!$A$51,'72期 元データ'!$D:$D,採用費管理表!$B51,'72期 元データ'!$A:$A,"&gt;=2024/2/1",'72期 元データ'!$A:$A,"&lt;=2024/2/29")</f>
        <v>0</v>
      </c>
      <c r="O51" s="52">
        <f>SUMIFS('72期 元データ'!$F:$F,'72期 元データ'!$B:$B,採用費管理表!$A$51,'72期 元データ'!$D:$D,採用費管理表!$B51,'72期 元データ'!$A:$A,"&gt;=2024/3/1",'72期 元データ'!$A:$A,"&lt;=2024/3/31")</f>
        <v>0</v>
      </c>
      <c r="P51" s="53">
        <f t="shared" si="1"/>
        <v>0</v>
      </c>
    </row>
    <row r="52" spans="1:16" ht="17.25" customHeight="1">
      <c r="A52" s="160"/>
      <c r="B52" s="162"/>
      <c r="C52" s="44" t="s">
        <v>31</v>
      </c>
      <c r="D52" s="45">
        <v>0</v>
      </c>
      <c r="E52" s="45">
        <v>222742</v>
      </c>
      <c r="F52" s="45">
        <v>44548</v>
      </c>
      <c r="G52" s="45">
        <v>11137</v>
      </c>
      <c r="H52" s="45">
        <v>0</v>
      </c>
      <c r="I52" s="45">
        <v>167056</v>
      </c>
      <c r="J52" s="45">
        <v>0</v>
      </c>
      <c r="K52" s="45">
        <v>0</v>
      </c>
      <c r="L52" s="45">
        <v>0</v>
      </c>
      <c r="M52" s="45">
        <v>0</v>
      </c>
      <c r="N52" s="45">
        <v>0</v>
      </c>
      <c r="O52" s="45">
        <v>0</v>
      </c>
      <c r="P52" s="46">
        <v>445483</v>
      </c>
    </row>
    <row r="53" spans="1:16" ht="17.25" customHeight="1">
      <c r="A53" s="160"/>
      <c r="B53" s="162"/>
      <c r="C53" s="25" t="s">
        <v>16</v>
      </c>
      <c r="D53" s="12">
        <v>0</v>
      </c>
      <c r="E53" s="12">
        <v>0</v>
      </c>
      <c r="F53" s="12">
        <v>0</v>
      </c>
      <c r="G53" s="12">
        <v>0</v>
      </c>
      <c r="H53" s="12">
        <v>0</v>
      </c>
      <c r="I53" s="12">
        <v>0</v>
      </c>
      <c r="J53" s="12">
        <v>0</v>
      </c>
      <c r="K53" s="12">
        <v>0</v>
      </c>
      <c r="L53" s="12">
        <v>0</v>
      </c>
      <c r="M53" s="12">
        <v>0</v>
      </c>
      <c r="N53" s="12">
        <v>0</v>
      </c>
      <c r="O53" s="12">
        <v>0</v>
      </c>
      <c r="P53" s="13">
        <v>0</v>
      </c>
    </row>
    <row r="54" spans="1:16" ht="17.25" customHeight="1">
      <c r="A54" s="160"/>
      <c r="B54" s="162" t="s">
        <v>49</v>
      </c>
      <c r="C54" s="26" t="s">
        <v>41</v>
      </c>
      <c r="D54" s="52">
        <f>SUMIFS('72期 元データ'!$F:$F,'72期 元データ'!$B:$B,採用費管理表!$A$51,'72期 元データ'!$D:$D,採用費管理表!$B54,'72期 元データ'!$A:$A,"&gt;=2023/4/1",'72期 元データ'!$A:$A,"&lt;=2023/4/30")</f>
        <v>0</v>
      </c>
      <c r="E54" s="52">
        <f>SUMIFS('72期 元データ'!$F:$F,'72期 元データ'!$B:$B,採用費管理表!$A$51,'72期 元データ'!$D:$D,採用費管理表!$B54,'72期 元データ'!$A:$A,"&gt;=2023/5/1",'72期 元データ'!$A:$A,"&lt;=2023/5/31")</f>
        <v>0</v>
      </c>
      <c r="F54" s="52">
        <f>SUMIFS('72期 元データ'!$F:$F,'72期 元データ'!$B:$B,採用費管理表!$A$51,'72期 元データ'!$D:$D,採用費管理表!$B54,'72期 元データ'!$A:$A,"&gt;=2023/6/1",'72期 元データ'!$A:$A,"&lt;=2023/6/30")</f>
        <v>0</v>
      </c>
      <c r="G54" s="52">
        <f>SUMIFS('72期 元データ'!$F:$F,'72期 元データ'!$B:$B,採用費管理表!$A$51,'72期 元データ'!$D:$D,採用費管理表!$B54,'72期 元データ'!$A:$A,"&gt;=2023/7/1",'72期 元データ'!$A:$A,"&lt;=2023/7/31")</f>
        <v>0</v>
      </c>
      <c r="H54" s="52">
        <f>SUMIFS('72期 元データ'!$F:$F,'72期 元データ'!$B:$B,採用費管理表!$A$51,'72期 元データ'!$D:$D,採用費管理表!$B54,'72期 元データ'!$A:$A,"&gt;=2023/8/1",'72期 元データ'!$A:$A,"&lt;=2023/8/31")</f>
        <v>0</v>
      </c>
      <c r="I54" s="52">
        <f>SUMIFS('72期 元データ'!$F:$F,'72期 元データ'!$B:$B,採用費管理表!$A$51,'72期 元データ'!$D:$D,採用費管理表!$B54,'72期 元データ'!$A:$A,"&gt;=2023/9/1",'72期 元データ'!$A:$A,"&lt;=2023/9/30")</f>
        <v>0</v>
      </c>
      <c r="J54" s="52">
        <f>SUMIFS('72期 元データ'!$F:$F,'72期 元データ'!$B:$B,採用費管理表!$A$51,'72期 元データ'!$D:$D,採用費管理表!$B54,'72期 元データ'!$A:$A,"&gt;=2023/10/1",'72期 元データ'!$A:$A,"&lt;=2023/10/31")</f>
        <v>0</v>
      </c>
      <c r="K54" s="52">
        <f>SUMIFS('72期 元データ'!$F:$F,'72期 元データ'!$B:$B,採用費管理表!$A$51,'72期 元データ'!$D:$D,採用費管理表!$B54,'72期 元データ'!$A:$A,"&gt;=2023/11/1",'72期 元データ'!$A:$A,"&lt;=2023/11/30")</f>
        <v>0</v>
      </c>
      <c r="L54" s="52">
        <f>SUMIFS('72期 元データ'!$F:$F,'72期 元データ'!$B:$B,採用費管理表!$A$51,'72期 元データ'!$D:$D,採用費管理表!$B54,'72期 元データ'!$A:$A,"&gt;=2023/12/1",'72期 元データ'!$A:$A,"&lt;=2023/12/31")</f>
        <v>0</v>
      </c>
      <c r="M54" s="52">
        <f>SUMIFS('72期 元データ'!$F:$F,'72期 元データ'!$B:$B,採用費管理表!$A$51,'72期 元データ'!$D:$D,採用費管理表!$B54,'72期 元データ'!$A:$A,"&gt;=2024/1/1",'72期 元データ'!$A:$A,"&lt;=2024/1/31")</f>
        <v>0</v>
      </c>
      <c r="N54" s="52">
        <f>SUMIFS('72期 元データ'!$F:$F,'72期 元データ'!$B:$B,採用費管理表!$A$51,'72期 元データ'!$D:$D,採用費管理表!$B54,'72期 元データ'!$A:$A,"&gt;=2024/2/1",'72期 元データ'!$A:$A,"&lt;=2024/2/29")</f>
        <v>0</v>
      </c>
      <c r="O54" s="52">
        <f>SUMIFS('72期 元データ'!$F:$F,'72期 元データ'!$B:$B,採用費管理表!$A$51,'72期 元データ'!$D:$D,採用費管理表!$B54,'72期 元データ'!$A:$A,"&gt;=2024/3/1",'72期 元データ'!$A:$A,"&lt;=2024/3/31")</f>
        <v>0</v>
      </c>
      <c r="P54" s="53">
        <f t="shared" ref="P54:P57" si="2">SUM(D54:O54)</f>
        <v>0</v>
      </c>
    </row>
    <row r="55" spans="1:16" ht="17.25" customHeight="1">
      <c r="A55" s="160"/>
      <c r="B55" s="162"/>
      <c r="C55" s="44" t="s">
        <v>31</v>
      </c>
      <c r="D55" s="45">
        <v>3000</v>
      </c>
      <c r="E55" s="45">
        <v>0</v>
      </c>
      <c r="F55" s="45">
        <v>6672</v>
      </c>
      <c r="G55" s="45">
        <v>1728</v>
      </c>
      <c r="H55" s="45">
        <v>1572</v>
      </c>
      <c r="I55" s="45">
        <v>0</v>
      </c>
      <c r="J55" s="45">
        <v>0</v>
      </c>
      <c r="K55" s="45">
        <v>8600</v>
      </c>
      <c r="L55" s="45">
        <v>0</v>
      </c>
      <c r="M55" s="45">
        <v>0</v>
      </c>
      <c r="N55" s="45">
        <v>68052</v>
      </c>
      <c r="O55" s="45">
        <v>0</v>
      </c>
      <c r="P55" s="46">
        <v>89624</v>
      </c>
    </row>
    <row r="56" spans="1:16" ht="17.25" customHeight="1">
      <c r="A56" s="160"/>
      <c r="B56" s="162"/>
      <c r="C56" s="25" t="s">
        <v>16</v>
      </c>
      <c r="D56" s="12">
        <v>0</v>
      </c>
      <c r="E56" s="12">
        <v>0</v>
      </c>
      <c r="F56" s="12">
        <v>0</v>
      </c>
      <c r="G56" s="12">
        <v>0</v>
      </c>
      <c r="H56" s="12">
        <v>0</v>
      </c>
      <c r="I56" s="12">
        <v>0</v>
      </c>
      <c r="J56" s="12">
        <v>0</v>
      </c>
      <c r="K56" s="12">
        <v>0</v>
      </c>
      <c r="L56" s="12">
        <v>0</v>
      </c>
      <c r="M56" s="12">
        <v>0</v>
      </c>
      <c r="N56" s="12">
        <v>0</v>
      </c>
      <c r="O56" s="12">
        <v>0</v>
      </c>
      <c r="P56" s="13">
        <v>0</v>
      </c>
    </row>
    <row r="57" spans="1:16" ht="16.95" customHeight="1">
      <c r="A57" s="160"/>
      <c r="B57" s="162" t="s">
        <v>50</v>
      </c>
      <c r="C57" s="26" t="s">
        <v>41</v>
      </c>
      <c r="D57" s="52">
        <f>SUMIFS('72期 元データ'!$F:$F,'72期 元データ'!$B:$B,採用費管理表!$A$51,'72期 元データ'!$D:$D,採用費管理表!$B57,'72期 元データ'!$A:$A,"&gt;=2023/4/1",'72期 元データ'!$A:$A,"&lt;=2023/4/30")</f>
        <v>0</v>
      </c>
      <c r="E57" s="52">
        <f>SUMIFS('72期 元データ'!$F:$F,'72期 元データ'!$B:$B,採用費管理表!$A$51,'72期 元データ'!$D:$D,採用費管理表!$B57,'72期 元データ'!$A:$A,"&gt;=2023/5/1",'72期 元データ'!$A:$A,"&lt;=2023/5/31")</f>
        <v>0</v>
      </c>
      <c r="F57" s="52">
        <f>SUMIFS('72期 元データ'!$F:$F,'72期 元データ'!$B:$B,採用費管理表!$A$51,'72期 元データ'!$D:$D,採用費管理表!$B57,'72期 元データ'!$A:$A,"&gt;=2023/6/1",'72期 元データ'!$A:$A,"&lt;=2023/6/30")</f>
        <v>0</v>
      </c>
      <c r="G57" s="52">
        <f>SUMIFS('72期 元データ'!$F:$F,'72期 元データ'!$B:$B,採用費管理表!$A$51,'72期 元データ'!$D:$D,採用費管理表!$B57,'72期 元データ'!$A:$A,"&gt;=2023/7/1",'72期 元データ'!$A:$A,"&lt;=2023/7/31")</f>
        <v>0</v>
      </c>
      <c r="H57" s="52">
        <f>SUMIFS('72期 元データ'!$F:$F,'72期 元データ'!$B:$B,採用費管理表!$A$51,'72期 元データ'!$D:$D,採用費管理表!$B57,'72期 元データ'!$A:$A,"&gt;=2023/8/1",'72期 元データ'!$A:$A,"&lt;=2023/8/31")</f>
        <v>0</v>
      </c>
      <c r="I57" s="52">
        <f>SUMIFS('72期 元データ'!$F:$F,'72期 元データ'!$B:$B,採用費管理表!$A$51,'72期 元データ'!$D:$D,採用費管理表!$B57,'72期 元データ'!$A:$A,"&gt;=2023/9/1",'72期 元データ'!$A:$A,"&lt;=2023/9/30")</f>
        <v>0</v>
      </c>
      <c r="J57" s="52">
        <f>SUMIFS('72期 元データ'!$F:$F,'72期 元データ'!$B:$B,採用費管理表!$A$51,'72期 元データ'!$D:$D,採用費管理表!$B57,'72期 元データ'!$A:$A,"&gt;=2023/10/1",'72期 元データ'!$A:$A,"&lt;=2023/10/31")</f>
        <v>0</v>
      </c>
      <c r="K57" s="52">
        <f>SUMIFS('72期 元データ'!$F:$F,'72期 元データ'!$B:$B,採用費管理表!$A$51,'72期 元データ'!$D:$D,採用費管理表!$B57,'72期 元データ'!$A:$A,"&gt;=2023/11/1",'72期 元データ'!$A:$A,"&lt;=2023/11/30")</f>
        <v>0</v>
      </c>
      <c r="L57" s="52">
        <f>SUMIFS('72期 元データ'!$F:$F,'72期 元データ'!$B:$B,採用費管理表!$A$51,'72期 元データ'!$D:$D,採用費管理表!$B57,'72期 元データ'!$A:$A,"&gt;=2023/12/1",'72期 元データ'!$A:$A,"&lt;=2023/12/31")</f>
        <v>0</v>
      </c>
      <c r="M57" s="52">
        <f>SUMIFS('72期 元データ'!$F:$F,'72期 元データ'!$B:$B,採用費管理表!$A$51,'72期 元データ'!$D:$D,採用費管理表!$B57,'72期 元データ'!$A:$A,"&gt;=2024/1/1",'72期 元データ'!$A:$A,"&lt;=2024/1/31")</f>
        <v>0</v>
      </c>
      <c r="N57" s="52">
        <f>SUMIFS('72期 元データ'!$F:$F,'72期 元データ'!$B:$B,採用費管理表!$A$51,'72期 元データ'!$D:$D,採用費管理表!$B57,'72期 元データ'!$A:$A,"&gt;=2024/2/1",'72期 元データ'!$A:$A,"&lt;=2024/2/29")</f>
        <v>0</v>
      </c>
      <c r="O57" s="52">
        <f>SUMIFS('72期 元データ'!$F:$F,'72期 元データ'!$B:$B,採用費管理表!$A$51,'72期 元データ'!$D:$D,採用費管理表!$B57,'72期 元データ'!$A:$A,"&gt;=2024/3/1",'72期 元データ'!$A:$A,"&lt;=2024/3/31")</f>
        <v>0</v>
      </c>
      <c r="P57" s="53">
        <f t="shared" si="2"/>
        <v>0</v>
      </c>
    </row>
    <row r="58" spans="1:16" ht="17.25" customHeight="1">
      <c r="A58" s="160"/>
      <c r="B58" s="162"/>
      <c r="C58" s="44" t="s">
        <v>31</v>
      </c>
      <c r="D58" s="45">
        <v>0</v>
      </c>
      <c r="E58" s="45">
        <v>0</v>
      </c>
      <c r="F58" s="45">
        <v>0</v>
      </c>
      <c r="G58" s="45">
        <v>0</v>
      </c>
      <c r="H58" s="45">
        <v>0</v>
      </c>
      <c r="I58" s="45">
        <v>0</v>
      </c>
      <c r="J58" s="45">
        <v>0</v>
      </c>
      <c r="K58" s="45">
        <v>0</v>
      </c>
      <c r="L58" s="45">
        <v>0</v>
      </c>
      <c r="M58" s="45">
        <v>0</v>
      </c>
      <c r="N58" s="45">
        <v>0</v>
      </c>
      <c r="O58" s="45">
        <v>0</v>
      </c>
      <c r="P58" s="46">
        <v>0</v>
      </c>
    </row>
    <row r="59" spans="1:16" ht="17.25" customHeight="1">
      <c r="A59" s="160"/>
      <c r="B59" s="162"/>
      <c r="C59" s="54" t="s">
        <v>16</v>
      </c>
      <c r="D59" s="55">
        <v>0</v>
      </c>
      <c r="E59" s="55">
        <v>0</v>
      </c>
      <c r="F59" s="55">
        <v>0</v>
      </c>
      <c r="G59" s="55">
        <v>0</v>
      </c>
      <c r="H59" s="55">
        <v>0</v>
      </c>
      <c r="I59" s="55">
        <v>0</v>
      </c>
      <c r="J59" s="55">
        <v>0</v>
      </c>
      <c r="K59" s="55">
        <v>0</v>
      </c>
      <c r="L59" s="55">
        <v>0</v>
      </c>
      <c r="M59" s="55">
        <v>0</v>
      </c>
      <c r="N59" s="55">
        <v>0</v>
      </c>
      <c r="O59" s="55">
        <v>0</v>
      </c>
      <c r="P59" s="56">
        <v>0</v>
      </c>
    </row>
    <row r="60" spans="1:16" ht="16.95" customHeight="1">
      <c r="A60" s="161" t="s">
        <v>48</v>
      </c>
      <c r="B60" s="164" t="s">
        <v>51</v>
      </c>
      <c r="C60" s="26" t="s">
        <v>41</v>
      </c>
      <c r="D60" s="52">
        <f>SUMIFS('72期 元データ'!$F:$F,'72期 元データ'!$B:$B,採用費管理表!$A$60,'72期 元データ'!$D:$D,採用費管理表!$B60,'72期 元データ'!$A:$A,"&gt;=2023/4/1",'72期 元データ'!$A:$A,"&lt;=2023/4/30")</f>
        <v>0</v>
      </c>
      <c r="E60" s="52">
        <f>SUMIFS('72期 元データ'!$F:$F,'72期 元データ'!$B:$B,採用費管理表!$A$60,'72期 元データ'!$D:$D,採用費管理表!$B60,'72期 元データ'!$A:$A,"&gt;=2023/5/1",'72期 元データ'!$A:$A,"&lt;=2023/5/31")</f>
        <v>0</v>
      </c>
      <c r="F60" s="52">
        <f>SUMIFS('72期 元データ'!$F:$F,'72期 元データ'!$B:$B,採用費管理表!$A$60,'72期 元データ'!$D:$D,採用費管理表!$B60,'72期 元データ'!$A:$A,"&gt;=2023/6/1",'72期 元データ'!$A:$A,"&lt;=2023/6/30")</f>
        <v>0</v>
      </c>
      <c r="G60" s="52">
        <f>SUMIFS('72期 元データ'!$F:$F,'72期 元データ'!$B:$B,採用費管理表!$A$60,'72期 元データ'!$D:$D,採用費管理表!$B60,'72期 元データ'!$A:$A,"&gt;=2023/7/1",'72期 元データ'!$A:$A,"&lt;=2023/7/31")</f>
        <v>0</v>
      </c>
      <c r="H60" s="52">
        <f>SUMIFS('72期 元データ'!$F:$F,'72期 元データ'!$B:$B,採用費管理表!$A$60,'72期 元データ'!$D:$D,採用費管理表!$B60,'72期 元データ'!$A:$A,"&gt;=2023/8/1",'72期 元データ'!$A:$A,"&lt;=2023/8/31")</f>
        <v>0</v>
      </c>
      <c r="I60" s="52">
        <f>SUMIFS('72期 元データ'!$F:$F,'72期 元データ'!$B:$B,採用費管理表!$A$60,'72期 元データ'!$D:$D,採用費管理表!$B60,'72期 元データ'!$A:$A,"&gt;=2023/9/1",'72期 元データ'!$A:$A,"&lt;=2023/9/30")</f>
        <v>0</v>
      </c>
      <c r="J60" s="52">
        <f>SUMIFS('72期 元データ'!$F:$F,'72期 元データ'!$B:$B,採用費管理表!$A$60,'72期 元データ'!$D:$D,採用費管理表!$B60,'72期 元データ'!$A:$A,"&gt;=2023/10/1",'72期 元データ'!$A:$A,"&lt;=2023/10/31")</f>
        <v>0</v>
      </c>
      <c r="K60" s="52">
        <f>SUMIFS('72期 元データ'!$F:$F,'72期 元データ'!$B:$B,採用費管理表!$A$60,'72期 元データ'!$D:$D,採用費管理表!$B60,'72期 元データ'!$A:$A,"&gt;=2023/11/1",'72期 元データ'!$A:$A,"&lt;=2023/11/30")</f>
        <v>0</v>
      </c>
      <c r="L60" s="52">
        <f>SUMIFS('72期 元データ'!$F:$F,'72期 元データ'!$B:$B,採用費管理表!$A$60,'72期 元データ'!$D:$D,採用費管理表!$B60,'72期 元データ'!$A:$A,"&gt;=2023/12/1",'72期 元データ'!$A:$A,"&lt;=2023/12/31")</f>
        <v>0</v>
      </c>
      <c r="M60" s="52">
        <f>SUMIFS('72期 元データ'!$F:$F,'72期 元データ'!$B:$B,採用費管理表!$A$60,'72期 元データ'!$D:$D,採用費管理表!$B60,'72期 元データ'!$A:$A,"&gt;=2024/1/1",'72期 元データ'!$A:$A,"&lt;=2024/1/31")</f>
        <v>0</v>
      </c>
      <c r="N60" s="52">
        <f>SUMIFS('72期 元データ'!$F:$F,'72期 元データ'!$B:$B,採用費管理表!$A$60,'72期 元データ'!$D:$D,採用費管理表!$B60,'72期 元データ'!$A:$A,"&gt;=2024/2/1",'72期 元データ'!$A:$A,"&lt;=2024/2/29")</f>
        <v>0</v>
      </c>
      <c r="O60" s="52">
        <f>SUMIFS('72期 元データ'!$F:$F,'72期 元データ'!$B:$B,採用費管理表!$A$60,'72期 元データ'!$D:$D,採用費管理表!$B60,'72期 元データ'!$A:$A,"&gt;=2024/3/1",'72期 元データ'!$A:$A,"&lt;=2024/3/31")</f>
        <v>0</v>
      </c>
      <c r="P60" s="53">
        <f t="shared" si="1"/>
        <v>0</v>
      </c>
    </row>
    <row r="61" spans="1:16" ht="17.25" customHeight="1">
      <c r="A61" s="161"/>
      <c r="B61" s="164"/>
      <c r="C61" s="44" t="s">
        <v>31</v>
      </c>
      <c r="D61" s="45">
        <v>0</v>
      </c>
      <c r="E61" s="45">
        <v>0</v>
      </c>
      <c r="F61" s="45">
        <v>0</v>
      </c>
      <c r="G61" s="45">
        <v>2215100</v>
      </c>
      <c r="H61" s="45">
        <v>0</v>
      </c>
      <c r="I61" s="45">
        <v>0</v>
      </c>
      <c r="J61" s="45">
        <v>2540280</v>
      </c>
      <c r="K61" s="45">
        <v>274900</v>
      </c>
      <c r="L61" s="45">
        <v>4199380</v>
      </c>
      <c r="M61" s="45">
        <v>124350</v>
      </c>
      <c r="N61" s="45">
        <v>149100</v>
      </c>
      <c r="O61" s="45">
        <v>3694339</v>
      </c>
      <c r="P61" s="46">
        <v>13197449</v>
      </c>
    </row>
    <row r="62" spans="1:16" ht="16.95" customHeight="1">
      <c r="A62" s="161"/>
      <c r="B62" s="164"/>
      <c r="C62" s="64" t="s">
        <v>16</v>
      </c>
      <c r="D62" s="65">
        <v>0</v>
      </c>
      <c r="E62" s="65">
        <v>0</v>
      </c>
      <c r="F62" s="65">
        <v>0</v>
      </c>
      <c r="G62" s="65">
        <v>0</v>
      </c>
      <c r="H62" s="65">
        <v>0</v>
      </c>
      <c r="I62" s="65">
        <v>0</v>
      </c>
      <c r="J62" s="65">
        <v>0</v>
      </c>
      <c r="K62" s="65">
        <v>0</v>
      </c>
      <c r="L62" s="65">
        <v>0</v>
      </c>
      <c r="M62" s="65">
        <v>0</v>
      </c>
      <c r="N62" s="65">
        <v>0</v>
      </c>
      <c r="O62" s="66">
        <v>0</v>
      </c>
      <c r="P62" s="13">
        <v>0</v>
      </c>
    </row>
    <row r="63" spans="1:16" ht="16.95" customHeight="1">
      <c r="A63" s="161"/>
      <c r="B63" s="164" t="s">
        <v>50</v>
      </c>
      <c r="C63" s="26" t="s">
        <v>41</v>
      </c>
      <c r="D63" s="52">
        <f>SUMIFS('72期 元データ'!$F:$F,'72期 元データ'!$B:$B,採用費管理表!$A$60,'72期 元データ'!$D:$D,採用費管理表!$B63,'72期 元データ'!$A:$A,"&gt;=2023/4/1",'72期 元データ'!$A:$A,"&lt;=2023/4/30")</f>
        <v>0</v>
      </c>
      <c r="E63" s="52">
        <f>SUMIFS('72期 元データ'!$F:$F,'72期 元データ'!$B:$B,採用費管理表!$A$60,'72期 元データ'!$D:$D,採用費管理表!$B63,'72期 元データ'!$A:$A,"&gt;=2023/5/1",'72期 元データ'!$A:$A,"&lt;=2023/5/31")</f>
        <v>0</v>
      </c>
      <c r="F63" s="52">
        <f>SUMIFS('72期 元データ'!$F:$F,'72期 元データ'!$B:$B,採用費管理表!$A$60,'72期 元データ'!$D:$D,採用費管理表!$B63,'72期 元データ'!$A:$A,"&gt;=2023/6/1",'72期 元データ'!$A:$A,"&lt;=2023/6/30")</f>
        <v>0</v>
      </c>
      <c r="G63" s="52">
        <f>SUMIFS('72期 元データ'!$F:$F,'72期 元データ'!$B:$B,採用費管理表!$A$60,'72期 元データ'!$D:$D,採用費管理表!$B63,'72期 元データ'!$A:$A,"&gt;=2023/7/1",'72期 元データ'!$A:$A,"&lt;=2023/7/31")</f>
        <v>0</v>
      </c>
      <c r="H63" s="52">
        <f>SUMIFS('72期 元データ'!$F:$F,'72期 元データ'!$B:$B,採用費管理表!$A$60,'72期 元データ'!$D:$D,採用費管理表!$B63,'72期 元データ'!$A:$A,"&gt;=2023/8/1",'72期 元データ'!$A:$A,"&lt;=2023/8/31")</f>
        <v>0</v>
      </c>
      <c r="I63" s="52">
        <f>SUMIFS('72期 元データ'!$F:$F,'72期 元データ'!$B:$B,採用費管理表!$A$60,'72期 元データ'!$D:$D,採用費管理表!$B63,'72期 元データ'!$A:$A,"&gt;=2023/9/1",'72期 元データ'!$A:$A,"&lt;=2023/9/30")</f>
        <v>0</v>
      </c>
      <c r="J63" s="52">
        <f>SUMIFS('72期 元データ'!$F:$F,'72期 元データ'!$B:$B,採用費管理表!$A$60,'72期 元データ'!$D:$D,採用費管理表!$B63,'72期 元データ'!$A:$A,"&gt;=2023/10/1",'72期 元データ'!$A:$A,"&lt;=2023/10/31")</f>
        <v>0</v>
      </c>
      <c r="K63" s="52">
        <f>SUMIFS('72期 元データ'!$F:$F,'72期 元データ'!$B:$B,採用費管理表!$A$60,'72期 元データ'!$D:$D,採用費管理表!$B63,'72期 元データ'!$A:$A,"&gt;=2023/11/1",'72期 元データ'!$A:$A,"&lt;=2023/11/30")</f>
        <v>0</v>
      </c>
      <c r="L63" s="52">
        <f>SUMIFS('72期 元データ'!$F:$F,'72期 元データ'!$B:$B,採用費管理表!$A$60,'72期 元データ'!$D:$D,採用費管理表!$B63,'72期 元データ'!$A:$A,"&gt;=2023/12/1",'72期 元データ'!$A:$A,"&lt;=2023/12/31")</f>
        <v>0</v>
      </c>
      <c r="M63" s="52">
        <f>SUMIFS('72期 元データ'!$F:$F,'72期 元データ'!$B:$B,採用費管理表!$A$60,'72期 元データ'!$D:$D,採用費管理表!$B63,'72期 元データ'!$A:$A,"&gt;=2024/1/1",'72期 元データ'!$A:$A,"&lt;=2024/1/31")</f>
        <v>0</v>
      </c>
      <c r="N63" s="52">
        <f>SUMIFS('72期 元データ'!$F:$F,'72期 元データ'!$B:$B,採用費管理表!$A$60,'72期 元データ'!$D:$D,採用費管理表!$B63,'72期 元データ'!$A:$A,"&gt;=2024/2/1",'72期 元データ'!$A:$A,"&lt;=2024/2/29")</f>
        <v>0</v>
      </c>
      <c r="O63" s="52">
        <f>SUMIFS('72期 元データ'!$F:$F,'72期 元データ'!$B:$B,採用費管理表!$A$60,'72期 元データ'!$D:$D,採用費管理表!$B63,'72期 元データ'!$A:$A,"&gt;=2024/3/1",'72期 元データ'!$A:$A,"&lt;=2024/3/31")</f>
        <v>0</v>
      </c>
      <c r="P63" s="67">
        <f t="shared" ref="P63" si="3">SUM(D63:O63)</f>
        <v>0</v>
      </c>
    </row>
    <row r="64" spans="1:16" ht="17.25" customHeight="1">
      <c r="A64" s="161"/>
      <c r="B64" s="164"/>
      <c r="C64" s="44" t="s">
        <v>31</v>
      </c>
      <c r="D64" s="45">
        <v>0</v>
      </c>
      <c r="E64" s="45">
        <v>0</v>
      </c>
      <c r="F64" s="45">
        <v>0</v>
      </c>
      <c r="G64" s="45">
        <v>0</v>
      </c>
      <c r="H64" s="45">
        <v>0</v>
      </c>
      <c r="I64" s="45">
        <v>0</v>
      </c>
      <c r="J64" s="45">
        <v>0</v>
      </c>
      <c r="K64" s="45">
        <v>0</v>
      </c>
      <c r="L64" s="45">
        <v>0</v>
      </c>
      <c r="M64" s="45">
        <v>0</v>
      </c>
      <c r="N64" s="45">
        <v>0</v>
      </c>
      <c r="O64" s="45">
        <v>5990529</v>
      </c>
      <c r="P64" s="46">
        <v>5990529</v>
      </c>
    </row>
    <row r="65" spans="1:16" ht="17.25" customHeight="1">
      <c r="A65" s="161"/>
      <c r="B65" s="164"/>
      <c r="C65" s="54" t="s">
        <v>16</v>
      </c>
      <c r="D65" s="55">
        <v>0</v>
      </c>
      <c r="E65" s="55">
        <v>0</v>
      </c>
      <c r="F65" s="55">
        <v>0</v>
      </c>
      <c r="G65" s="55">
        <v>0</v>
      </c>
      <c r="H65" s="55">
        <v>0</v>
      </c>
      <c r="I65" s="55">
        <v>0</v>
      </c>
      <c r="J65" s="55">
        <v>0</v>
      </c>
      <c r="K65" s="55">
        <v>0</v>
      </c>
      <c r="L65" s="55">
        <v>0</v>
      </c>
      <c r="M65" s="55">
        <v>0</v>
      </c>
      <c r="N65" s="55">
        <v>0</v>
      </c>
      <c r="O65" s="55">
        <v>0</v>
      </c>
      <c r="P65" s="56">
        <v>0</v>
      </c>
    </row>
    <row r="66" spans="1:16" ht="17.25" customHeight="1">
      <c r="A66" s="142" t="s">
        <v>28</v>
      </c>
      <c r="B66" s="153" t="s">
        <v>17</v>
      </c>
      <c r="C66" s="26" t="s">
        <v>41</v>
      </c>
      <c r="D66" s="52">
        <f>SUMIFS('72期 元データ'!$F:$F,'72期 元データ'!$B:$B,採用費管理表!$A$66,'72期 元データ'!$D:$D,採用費管理表!$B66,'72期 元データ'!$A:$A,"&gt;=2023/4/1",'72期 元データ'!$A:$A,"&lt;=2023/4/30")</f>
        <v>0</v>
      </c>
      <c r="E66" s="52">
        <f>SUMIFS('72期 元データ'!$F:$F,'72期 元データ'!$B:$B,採用費管理表!$A$66,'72期 元データ'!$D:$D,採用費管理表!$B66,'72期 元データ'!$A:$A,"&gt;=2023/5/1",'72期 元データ'!$A:$A,"&lt;=2023/5/31")</f>
        <v>0</v>
      </c>
      <c r="F66" s="52">
        <f>SUMIFS('72期 元データ'!$F:$F,'72期 元データ'!$B:$B,採用費管理表!$A$66,'72期 元データ'!$D:$D,採用費管理表!$B66,'72期 元データ'!$A:$A,"&gt;=2023/6/1",'72期 元データ'!$A:$A,"&lt;=2023/6/30")</f>
        <v>0</v>
      </c>
      <c r="G66" s="52">
        <f>SUMIFS('72期 元データ'!$F:$F,'72期 元データ'!$B:$B,採用費管理表!$A$66,'72期 元データ'!$D:$D,採用費管理表!$B66,'72期 元データ'!$A:$A,"&gt;=2023/7/1",'72期 元データ'!$A:$A,"&lt;=2023/7/31")</f>
        <v>0</v>
      </c>
      <c r="H66" s="52">
        <f>SUMIFS('72期 元データ'!$F:$F,'72期 元データ'!$B:$B,採用費管理表!$A$66,'72期 元データ'!$D:$D,採用費管理表!$B66,'72期 元データ'!$A:$A,"&gt;=2023/8/1",'72期 元データ'!$A:$A,"&lt;=2023/8/31")</f>
        <v>0</v>
      </c>
      <c r="I66" s="52">
        <f>SUMIFS('72期 元データ'!$F:$F,'72期 元データ'!$B:$B,採用費管理表!$A$66,'72期 元データ'!$D:$D,採用費管理表!$B66,'72期 元データ'!$A:$A,"&gt;=2023/9/1",'72期 元データ'!$A:$A,"&lt;=2023/9/30")</f>
        <v>0</v>
      </c>
      <c r="J66" s="52">
        <f>SUMIFS('72期 元データ'!$F:$F,'72期 元データ'!$B:$B,採用費管理表!$A$66,'72期 元データ'!$D:$D,採用費管理表!$B66,'72期 元データ'!$A:$A,"&gt;=2023/10/1",'72期 元データ'!$A:$A,"&lt;=2023/10/31")</f>
        <v>0</v>
      </c>
      <c r="K66" s="52">
        <f>SUMIFS('72期 元データ'!$F:$F,'72期 元データ'!$B:$B,採用費管理表!$A$66,'72期 元データ'!$D:$D,採用費管理表!$B66,'72期 元データ'!$A:$A,"&gt;=2023/11/1",'72期 元データ'!$A:$A,"&lt;=2023/11/30")</f>
        <v>0</v>
      </c>
      <c r="L66" s="52">
        <f>SUMIFS('72期 元データ'!$F:$F,'72期 元データ'!$B:$B,採用費管理表!$A$66,'72期 元データ'!$D:$D,採用費管理表!$B66,'72期 元データ'!$A:$A,"&gt;=2023/12/1",'72期 元データ'!$A:$A,"&lt;=2023/12/31")</f>
        <v>0</v>
      </c>
      <c r="M66" s="52">
        <f>SUMIFS('72期 元データ'!$F:$F,'72期 元データ'!$B:$B,採用費管理表!$A$66,'72期 元データ'!$D:$D,採用費管理表!$B66,'72期 元データ'!$A:$A,"&gt;=2024/1/1",'72期 元データ'!$A:$A,"&lt;=2024/1/31")</f>
        <v>0</v>
      </c>
      <c r="N66" s="52">
        <f>SUMIFS('72期 元データ'!$F:$F,'72期 元データ'!$B:$B,採用費管理表!$A$66,'72期 元データ'!$D:$D,採用費管理表!$B66,'72期 元データ'!$A:$A,"&gt;=2024/2/1",'72期 元データ'!$A:$A,"&lt;=2024/2/29")</f>
        <v>0</v>
      </c>
      <c r="O66" s="52">
        <f>SUMIFS('72期 元データ'!$F:$F,'72期 元データ'!$B:$B,採用費管理表!$A$66,'72期 元データ'!$D:$D,採用費管理表!$B66,'72期 元データ'!$A:$A,"&gt;=2024/3/1",'72期 元データ'!$A:$A,"&lt;=2024/3/31")</f>
        <v>0</v>
      </c>
      <c r="P66" s="53">
        <f>SUM(D66:O66)</f>
        <v>0</v>
      </c>
    </row>
    <row r="67" spans="1:16" ht="17.25" customHeight="1">
      <c r="A67" s="142"/>
      <c r="B67" s="153"/>
      <c r="C67" s="44" t="s">
        <v>31</v>
      </c>
      <c r="D67" s="45">
        <v>166100</v>
      </c>
      <c r="E67" s="45">
        <v>350900</v>
      </c>
      <c r="F67" s="45">
        <v>329450</v>
      </c>
      <c r="G67" s="45">
        <v>261800</v>
      </c>
      <c r="H67" s="45"/>
      <c r="I67" s="45">
        <v>130900</v>
      </c>
      <c r="J67" s="45">
        <v>837650</v>
      </c>
      <c r="K67" s="45">
        <v>116050</v>
      </c>
      <c r="L67" s="45">
        <v>113300</v>
      </c>
      <c r="M67" s="45">
        <v>350900</v>
      </c>
      <c r="N67" s="45">
        <v>278300</v>
      </c>
      <c r="O67" s="45">
        <v>177650</v>
      </c>
      <c r="P67" s="46">
        <f t="shared" si="1"/>
        <v>3113000</v>
      </c>
    </row>
    <row r="68" spans="1:16" ht="17.25" customHeight="1">
      <c r="A68" s="142"/>
      <c r="B68" s="153"/>
      <c r="C68" s="64" t="s">
        <v>16</v>
      </c>
      <c r="D68" s="65">
        <v>176000</v>
      </c>
      <c r="E68" s="65">
        <v>201850</v>
      </c>
      <c r="F68" s="65">
        <v>78650</v>
      </c>
      <c r="G68" s="65">
        <v>90750</v>
      </c>
      <c r="H68" s="65">
        <v>96800</v>
      </c>
      <c r="I68" s="65">
        <v>127600</v>
      </c>
      <c r="J68" s="65">
        <v>185900</v>
      </c>
      <c r="K68" s="65">
        <v>0</v>
      </c>
      <c r="L68" s="65">
        <v>167200</v>
      </c>
      <c r="M68" s="12">
        <v>825000</v>
      </c>
      <c r="N68" s="12">
        <v>0</v>
      </c>
      <c r="O68" s="12">
        <v>1272700</v>
      </c>
      <c r="P68" s="13">
        <f t="shared" si="1"/>
        <v>3222450</v>
      </c>
    </row>
    <row r="69" spans="1:16" ht="17.25" customHeight="1">
      <c r="A69" s="142"/>
      <c r="B69" s="153" t="s">
        <v>29</v>
      </c>
      <c r="C69" s="26" t="s">
        <v>41</v>
      </c>
      <c r="D69" s="52">
        <f>SUMIFS('72期 元データ'!$F:$F,'72期 元データ'!$B:$B,採用費管理表!$A$66,'72期 元データ'!$D:$D,採用費管理表!$B69,'72期 元データ'!$A:$A,"&gt;=2023/4/1",'72期 元データ'!$A:$A,"&lt;=2023/4/30")</f>
        <v>0</v>
      </c>
      <c r="E69" s="52">
        <f>SUMIFS('72期 元データ'!$F:$F,'72期 元データ'!$B:$B,採用費管理表!$A$66,'72期 元データ'!$D:$D,採用費管理表!$B69,'72期 元データ'!$A:$A,"&gt;=2023/5/1",'72期 元データ'!$A:$A,"&lt;=2023/5/31")</f>
        <v>0</v>
      </c>
      <c r="F69" s="52">
        <f>SUMIFS('72期 元データ'!$F:$F,'72期 元データ'!$B:$B,採用費管理表!$A$66,'72期 元データ'!$D:$D,採用費管理表!$B69,'72期 元データ'!$A:$A,"&gt;=2023/6/1",'72期 元データ'!$A:$A,"&lt;=2023/6/30")</f>
        <v>0</v>
      </c>
      <c r="G69" s="52">
        <f>SUMIFS('72期 元データ'!$F:$F,'72期 元データ'!$B:$B,採用費管理表!$A$66,'72期 元データ'!$D:$D,採用費管理表!$B69,'72期 元データ'!$A:$A,"&gt;=2023/7/1",'72期 元データ'!$A:$A,"&lt;=2023/7/31")</f>
        <v>0</v>
      </c>
      <c r="H69" s="52">
        <f>SUMIFS('72期 元データ'!$F:$F,'72期 元データ'!$B:$B,採用費管理表!$A$66,'72期 元データ'!$D:$D,採用費管理表!$B69,'72期 元データ'!$A:$A,"&gt;=2023/8/1",'72期 元データ'!$A:$A,"&lt;=2023/8/31")</f>
        <v>0</v>
      </c>
      <c r="I69" s="52">
        <f>SUMIFS('72期 元データ'!$F:$F,'72期 元データ'!$B:$B,採用費管理表!$A$66,'72期 元データ'!$D:$D,採用費管理表!$B69,'72期 元データ'!$A:$A,"&gt;=2023/9/1",'72期 元データ'!$A:$A,"&lt;=2023/9/30")</f>
        <v>0</v>
      </c>
      <c r="J69" s="52">
        <f>SUMIFS('72期 元データ'!$F:$F,'72期 元データ'!$B:$B,採用費管理表!$A$66,'72期 元データ'!$D:$D,採用費管理表!$B69,'72期 元データ'!$A:$A,"&gt;=2023/10/1",'72期 元データ'!$A:$A,"&lt;=2023/10/31")</f>
        <v>0</v>
      </c>
      <c r="K69" s="52">
        <f>SUMIFS('72期 元データ'!$F:$F,'72期 元データ'!$B:$B,採用費管理表!$A$66,'72期 元データ'!$D:$D,採用費管理表!$B69,'72期 元データ'!$A:$A,"&gt;=2023/11/1",'72期 元データ'!$A:$A,"&lt;=2023/11/30")</f>
        <v>0</v>
      </c>
      <c r="L69" s="52">
        <f>SUMIFS('72期 元データ'!$F:$F,'72期 元データ'!$B:$B,採用費管理表!$A$66,'72期 元データ'!$D:$D,採用費管理表!$B69,'72期 元データ'!$A:$A,"&gt;=2023/12/1",'72期 元データ'!$A:$A,"&lt;=2023/12/31")</f>
        <v>0</v>
      </c>
      <c r="M69" s="52">
        <f>SUMIFS('72期 元データ'!$F:$F,'72期 元データ'!$B:$B,採用費管理表!$A$66,'72期 元データ'!$D:$D,採用費管理表!$B69,'72期 元データ'!$A:$A,"&gt;=2024/1/1",'72期 元データ'!$A:$A,"&lt;=2024/1/31")</f>
        <v>0</v>
      </c>
      <c r="N69" s="52">
        <f>SUMIFS('72期 元データ'!$F:$F,'72期 元データ'!$B:$B,採用費管理表!$A$66,'72期 元データ'!$D:$D,採用費管理表!$B69,'72期 元データ'!$A:$A,"&gt;=2024/2/1",'72期 元データ'!$A:$A,"&lt;=2024/2/29")</f>
        <v>0</v>
      </c>
      <c r="O69" s="52">
        <f>SUMIFS('72期 元データ'!$F:$F,'72期 元データ'!$B:$B,採用費管理表!$A$66,'72期 元データ'!$D:$D,採用費管理表!$B69,'72期 元データ'!$A:$A,"&gt;=2024/3/1",'72期 元データ'!$A:$A,"&lt;=2024/3/31")</f>
        <v>0</v>
      </c>
      <c r="P69" s="43">
        <f t="shared" si="1"/>
        <v>0</v>
      </c>
    </row>
    <row r="70" spans="1:16" ht="17.25" customHeight="1">
      <c r="A70" s="142"/>
      <c r="B70" s="153"/>
      <c r="C70" s="44" t="s">
        <v>31</v>
      </c>
      <c r="D70" s="45">
        <v>11000</v>
      </c>
      <c r="E70" s="45"/>
      <c r="F70" s="45">
        <v>55000</v>
      </c>
      <c r="G70" s="45"/>
      <c r="H70" s="45"/>
      <c r="I70" s="45">
        <v>60500</v>
      </c>
      <c r="J70" s="45"/>
      <c r="K70" s="45">
        <v>5500</v>
      </c>
      <c r="L70" s="45">
        <v>35200</v>
      </c>
      <c r="M70" s="45">
        <v>16500</v>
      </c>
      <c r="N70" s="45">
        <v>5500</v>
      </c>
      <c r="O70" s="45">
        <v>11000</v>
      </c>
      <c r="P70" s="46">
        <f t="shared" si="1"/>
        <v>200200</v>
      </c>
    </row>
    <row r="71" spans="1:16" ht="17.25" customHeight="1">
      <c r="A71" s="142"/>
      <c r="B71" s="153"/>
      <c r="C71" s="64" t="s">
        <v>16</v>
      </c>
      <c r="D71" s="12">
        <v>60500</v>
      </c>
      <c r="E71" s="12">
        <v>38500</v>
      </c>
      <c r="F71" s="12">
        <v>5500</v>
      </c>
      <c r="G71" s="12">
        <v>44000</v>
      </c>
      <c r="H71" s="12">
        <v>22000</v>
      </c>
      <c r="I71" s="12">
        <v>11000</v>
      </c>
      <c r="J71" s="12">
        <v>44000</v>
      </c>
      <c r="K71" s="12">
        <v>27500</v>
      </c>
      <c r="L71" s="12">
        <v>16500</v>
      </c>
      <c r="M71" s="12">
        <v>22000</v>
      </c>
      <c r="N71" s="12">
        <v>5500</v>
      </c>
      <c r="O71" s="12">
        <v>38500</v>
      </c>
      <c r="P71" s="13">
        <f t="shared" si="1"/>
        <v>335500</v>
      </c>
    </row>
    <row r="72" spans="1:16" ht="17.25" customHeight="1">
      <c r="A72" s="142"/>
      <c r="B72" s="153" t="s">
        <v>22</v>
      </c>
      <c r="C72" s="26" t="s">
        <v>41</v>
      </c>
      <c r="D72" s="52">
        <f>SUMIFS('72期 元データ'!$F:$F,'72期 元データ'!$B:$B,採用費管理表!$A$66,'72期 元データ'!$D:$D,採用費管理表!$B72,'72期 元データ'!$A:$A,"&gt;=2023/4/1",'72期 元データ'!$A:$A,"&lt;=2023/4/30")</f>
        <v>0</v>
      </c>
      <c r="E72" s="52">
        <f>SUMIFS('72期 元データ'!$F:$F,'72期 元データ'!$B:$B,採用費管理表!$A$66,'72期 元データ'!$D:$D,採用費管理表!$B72,'72期 元データ'!$A:$A,"&gt;=2023/5/1",'72期 元データ'!$A:$A,"&lt;=2023/5/31")</f>
        <v>0</v>
      </c>
      <c r="F72" s="52">
        <f>SUMIFS('72期 元データ'!$F:$F,'72期 元データ'!$B:$B,採用費管理表!$A$66,'72期 元データ'!$D:$D,採用費管理表!$B72,'72期 元データ'!$A:$A,"&gt;=2023/6/1",'72期 元データ'!$A:$A,"&lt;=2023/6/30")</f>
        <v>0</v>
      </c>
      <c r="G72" s="52">
        <f>SUMIFS('72期 元データ'!$F:$F,'72期 元データ'!$B:$B,採用費管理表!$A$66,'72期 元データ'!$D:$D,採用費管理表!$B72,'72期 元データ'!$A:$A,"&gt;=2023/7/1",'72期 元データ'!$A:$A,"&lt;=2023/7/31")</f>
        <v>0</v>
      </c>
      <c r="H72" s="52">
        <f>SUMIFS('72期 元データ'!$F:$F,'72期 元データ'!$B:$B,採用費管理表!$A$66,'72期 元データ'!$D:$D,採用費管理表!$B72,'72期 元データ'!$A:$A,"&gt;=2023/8/1",'72期 元データ'!$A:$A,"&lt;=2023/8/31")</f>
        <v>0</v>
      </c>
      <c r="I72" s="52">
        <f>SUMIFS('72期 元データ'!$F:$F,'72期 元データ'!$B:$B,採用費管理表!$A$66,'72期 元データ'!$D:$D,採用費管理表!$B72,'72期 元データ'!$A:$A,"&gt;=2023/9/1",'72期 元データ'!$A:$A,"&lt;=2023/9/30")</f>
        <v>0</v>
      </c>
      <c r="J72" s="52">
        <f>SUMIFS('72期 元データ'!$F:$F,'72期 元データ'!$B:$B,採用費管理表!$A$66,'72期 元データ'!$D:$D,採用費管理表!$B72,'72期 元データ'!$A:$A,"&gt;=2023/10/1",'72期 元データ'!$A:$A,"&lt;=2023/10/31")</f>
        <v>0</v>
      </c>
      <c r="K72" s="52">
        <f>SUMIFS('72期 元データ'!$F:$F,'72期 元データ'!$B:$B,採用費管理表!$A$66,'72期 元データ'!$D:$D,採用費管理表!$B72,'72期 元データ'!$A:$A,"&gt;=2023/11/1",'72期 元データ'!$A:$A,"&lt;=2023/11/30")</f>
        <v>0</v>
      </c>
      <c r="L72" s="52">
        <f>SUMIFS('72期 元データ'!$F:$F,'72期 元データ'!$B:$B,採用費管理表!$A$66,'72期 元データ'!$D:$D,採用費管理表!$B72,'72期 元データ'!$A:$A,"&gt;=2023/12/1",'72期 元データ'!$A:$A,"&lt;=2023/12/31")</f>
        <v>0</v>
      </c>
      <c r="M72" s="52">
        <f>SUMIFS('72期 元データ'!$F:$F,'72期 元データ'!$B:$B,採用費管理表!$A$66,'72期 元データ'!$D:$D,採用費管理表!$B72,'72期 元データ'!$A:$A,"&gt;=2024/1/1",'72期 元データ'!$A:$A,"&lt;=2024/1/31")</f>
        <v>0</v>
      </c>
      <c r="N72" s="52">
        <f>SUMIFS('72期 元データ'!$F:$F,'72期 元データ'!$B:$B,採用費管理表!$A$66,'72期 元データ'!$D:$D,採用費管理表!$B72,'72期 元データ'!$A:$A,"&gt;=2024/2/1",'72期 元データ'!$A:$A,"&lt;=2024/2/29")</f>
        <v>0</v>
      </c>
      <c r="O72" s="52">
        <f>SUMIFS('72期 元データ'!$F:$F,'72期 元データ'!$B:$B,採用費管理表!$A$66,'72期 元データ'!$D:$D,採用費管理表!$B72,'72期 元データ'!$A:$A,"&gt;=2024/3/1",'72期 元データ'!$A:$A,"&lt;=2024/3/31")</f>
        <v>0</v>
      </c>
      <c r="P72" s="43">
        <f t="shared" si="1"/>
        <v>0</v>
      </c>
    </row>
    <row r="73" spans="1:16" ht="17.25" customHeight="1">
      <c r="A73" s="142"/>
      <c r="B73" s="153"/>
      <c r="C73" s="44" t="s">
        <v>31</v>
      </c>
      <c r="D73" s="45">
        <v>0</v>
      </c>
      <c r="E73" s="45">
        <v>0</v>
      </c>
      <c r="F73" s="45">
        <v>15048</v>
      </c>
      <c r="G73" s="45">
        <v>0</v>
      </c>
      <c r="H73" s="45">
        <v>0</v>
      </c>
      <c r="I73" s="45">
        <v>0</v>
      </c>
      <c r="J73" s="45">
        <v>0</v>
      </c>
      <c r="K73" s="45">
        <v>0</v>
      </c>
      <c r="L73" s="45">
        <v>0</v>
      </c>
      <c r="M73" s="45">
        <v>0</v>
      </c>
      <c r="N73" s="45">
        <v>0</v>
      </c>
      <c r="O73" s="45">
        <v>0</v>
      </c>
      <c r="P73" s="46">
        <f t="shared" si="1"/>
        <v>15048</v>
      </c>
    </row>
    <row r="74" spans="1:16" ht="17.25" customHeight="1">
      <c r="A74" s="142"/>
      <c r="B74" s="153"/>
      <c r="C74" s="64" t="s">
        <v>16</v>
      </c>
      <c r="D74" s="12">
        <v>0</v>
      </c>
      <c r="E74" s="12">
        <v>0</v>
      </c>
      <c r="F74" s="12">
        <v>0</v>
      </c>
      <c r="G74" s="12">
        <v>0</v>
      </c>
      <c r="H74" s="12">
        <v>0</v>
      </c>
      <c r="I74" s="12">
        <v>0</v>
      </c>
      <c r="J74" s="12">
        <v>0</v>
      </c>
      <c r="K74" s="12">
        <v>0</v>
      </c>
      <c r="L74" s="12">
        <v>3297</v>
      </c>
      <c r="M74" s="12">
        <v>4987</v>
      </c>
      <c r="N74" s="12">
        <v>12237</v>
      </c>
      <c r="O74" s="12">
        <v>0</v>
      </c>
      <c r="P74" s="13">
        <f t="shared" si="1"/>
        <v>20521</v>
      </c>
    </row>
    <row r="75" spans="1:16" ht="17.25" customHeight="1">
      <c r="A75" s="142"/>
      <c r="B75" s="153" t="s">
        <v>23</v>
      </c>
      <c r="C75" s="26" t="s">
        <v>41</v>
      </c>
      <c r="D75" s="52">
        <f>SUMIFS('72期 元データ'!$F:$F,'72期 元データ'!$B:$B,採用費管理表!$A$66,'72期 元データ'!$D:$D,採用費管理表!$B75,'72期 元データ'!$A:$A,"&gt;=2023/4/1",'72期 元データ'!$A:$A,"&lt;=2023/4/30")</f>
        <v>0</v>
      </c>
      <c r="E75" s="52">
        <f>SUMIFS('72期 元データ'!$F:$F,'72期 元データ'!$B:$B,採用費管理表!$A$66,'72期 元データ'!$D:$D,採用費管理表!$B75,'72期 元データ'!$A:$A,"&gt;=2023/5/1",'72期 元データ'!$A:$A,"&lt;=2023/5/31")</f>
        <v>0</v>
      </c>
      <c r="F75" s="52">
        <f>SUMIFS('72期 元データ'!$F:$F,'72期 元データ'!$B:$B,採用費管理表!$A$66,'72期 元データ'!$D:$D,採用費管理表!$B75,'72期 元データ'!$A:$A,"&gt;=2023/6/1",'72期 元データ'!$A:$A,"&lt;=2023/6/30")</f>
        <v>0</v>
      </c>
      <c r="G75" s="52">
        <f>SUMIFS('72期 元データ'!$F:$F,'72期 元データ'!$B:$B,採用費管理表!$A$66,'72期 元データ'!$D:$D,採用費管理表!$B75,'72期 元データ'!$A:$A,"&gt;=2023/7/1",'72期 元データ'!$A:$A,"&lt;=2023/7/31")</f>
        <v>0</v>
      </c>
      <c r="H75" s="52">
        <f>SUMIFS('72期 元データ'!$F:$F,'72期 元データ'!$B:$B,採用費管理表!$A$66,'72期 元データ'!$D:$D,採用費管理表!$B75,'72期 元データ'!$A:$A,"&gt;=2023/8/1",'72期 元データ'!$A:$A,"&lt;=2023/8/31")</f>
        <v>0</v>
      </c>
      <c r="I75" s="52">
        <f>SUMIFS('72期 元データ'!$F:$F,'72期 元データ'!$B:$B,採用費管理表!$A$66,'72期 元データ'!$D:$D,採用費管理表!$B75,'72期 元データ'!$A:$A,"&gt;=2023/9/1",'72期 元データ'!$A:$A,"&lt;=2023/9/30")</f>
        <v>0</v>
      </c>
      <c r="J75" s="52">
        <f>SUMIFS('72期 元データ'!$F:$F,'72期 元データ'!$B:$B,採用費管理表!$A$66,'72期 元データ'!$D:$D,採用費管理表!$B75,'72期 元データ'!$A:$A,"&gt;=2023/10/1",'72期 元データ'!$A:$A,"&lt;=2023/10/31")</f>
        <v>0</v>
      </c>
      <c r="K75" s="52">
        <f>SUMIFS('72期 元データ'!$F:$F,'72期 元データ'!$B:$B,採用費管理表!$A$66,'72期 元データ'!$D:$D,採用費管理表!$B75,'72期 元データ'!$A:$A,"&gt;=2023/11/1",'72期 元データ'!$A:$A,"&lt;=2023/11/30")</f>
        <v>0</v>
      </c>
      <c r="L75" s="52">
        <f>SUMIFS('72期 元データ'!$F:$F,'72期 元データ'!$B:$B,採用費管理表!$A$66,'72期 元データ'!$D:$D,採用費管理表!$B75,'72期 元データ'!$A:$A,"&gt;=2023/12/1",'72期 元データ'!$A:$A,"&lt;=2023/12/31")</f>
        <v>0</v>
      </c>
      <c r="M75" s="52">
        <f>SUMIFS('72期 元データ'!$F:$F,'72期 元データ'!$B:$B,採用費管理表!$A$66,'72期 元データ'!$D:$D,採用費管理表!$B75,'72期 元データ'!$A:$A,"&gt;=2024/1/1",'72期 元データ'!$A:$A,"&lt;=2024/1/31")</f>
        <v>0</v>
      </c>
      <c r="N75" s="52">
        <f>SUMIFS('72期 元データ'!$F:$F,'72期 元データ'!$B:$B,採用費管理表!$A$66,'72期 元データ'!$D:$D,採用費管理表!$B75,'72期 元データ'!$A:$A,"&gt;=2024/2/1",'72期 元データ'!$A:$A,"&lt;=2024/2/29")</f>
        <v>0</v>
      </c>
      <c r="O75" s="52">
        <f>SUMIFS('72期 元データ'!$F:$F,'72期 元データ'!$B:$B,採用費管理表!$A$66,'72期 元データ'!$D:$D,採用費管理表!$B75,'72期 元データ'!$A:$A,"&gt;=2024/3/1",'72期 元データ'!$A:$A,"&lt;=2024/3/31")</f>
        <v>0</v>
      </c>
      <c r="P75" s="43">
        <f t="shared" si="1"/>
        <v>0</v>
      </c>
    </row>
    <row r="76" spans="1:16" ht="17.25" customHeight="1">
      <c r="A76" s="142"/>
      <c r="B76" s="153"/>
      <c r="C76" s="44" t="s">
        <v>31</v>
      </c>
      <c r="D76" s="45">
        <v>0</v>
      </c>
      <c r="E76" s="45">
        <v>0</v>
      </c>
      <c r="F76" s="45">
        <v>770000</v>
      </c>
      <c r="G76" s="45">
        <v>0</v>
      </c>
      <c r="H76" s="45">
        <v>770000</v>
      </c>
      <c r="I76" s="45">
        <v>770000</v>
      </c>
      <c r="J76" s="45">
        <v>5362500</v>
      </c>
      <c r="K76" s="45">
        <v>770000</v>
      </c>
      <c r="L76" s="45">
        <v>0</v>
      </c>
      <c r="M76" s="45">
        <v>2609220</v>
      </c>
      <c r="N76" s="45">
        <v>2609200</v>
      </c>
      <c r="O76" s="45">
        <v>385000</v>
      </c>
      <c r="P76" s="46">
        <f t="shared" si="1"/>
        <v>14045920</v>
      </c>
    </row>
    <row r="77" spans="1:16" ht="17.25" customHeight="1">
      <c r="A77" s="142"/>
      <c r="B77" s="153"/>
      <c r="C77" s="25" t="s">
        <v>16</v>
      </c>
      <c r="D77" s="12">
        <v>0</v>
      </c>
      <c r="E77" s="12">
        <v>0</v>
      </c>
      <c r="F77" s="12">
        <v>0</v>
      </c>
      <c r="G77" s="12">
        <v>0</v>
      </c>
      <c r="H77" s="12">
        <v>0</v>
      </c>
      <c r="I77" s="12">
        <v>0</v>
      </c>
      <c r="J77" s="12">
        <v>0</v>
      </c>
      <c r="K77" s="12">
        <v>0</v>
      </c>
      <c r="L77" s="12">
        <v>0</v>
      </c>
      <c r="M77" s="12">
        <v>0</v>
      </c>
      <c r="N77" s="12">
        <v>0</v>
      </c>
      <c r="O77" s="12">
        <v>7260000</v>
      </c>
      <c r="P77" s="13">
        <f t="shared" ref="P77:P83" si="4">SUM(D77:O77)</f>
        <v>7260000</v>
      </c>
    </row>
    <row r="78" spans="1:16" ht="17.25" customHeight="1">
      <c r="A78" s="142"/>
      <c r="B78" s="153" t="s">
        <v>20</v>
      </c>
      <c r="C78" s="68" t="s">
        <v>41</v>
      </c>
      <c r="D78" s="52">
        <f>SUMIFS('72期 元データ'!$F:$F,'72期 元データ'!$B:$B,採用費管理表!$A$66,'72期 元データ'!$D:$D,採用費管理表!$B78,'72期 元データ'!$A:$A,"&gt;=2023/4/1",'72期 元データ'!$A:$A,"&lt;=2023/4/30")</f>
        <v>0</v>
      </c>
      <c r="E78" s="52">
        <f>SUMIFS('72期 元データ'!$F:$F,'72期 元データ'!$B:$B,採用費管理表!$A$66,'72期 元データ'!$D:$D,採用費管理表!$B78,'72期 元データ'!$A:$A,"&gt;=2023/5/1",'72期 元データ'!$A:$A,"&lt;=2023/5/31")</f>
        <v>0</v>
      </c>
      <c r="F78" s="52">
        <f>SUMIFS('72期 元データ'!$F:$F,'72期 元データ'!$B:$B,採用費管理表!$A$66,'72期 元データ'!$D:$D,採用費管理表!$B78,'72期 元データ'!$A:$A,"&gt;=2023/6/1",'72期 元データ'!$A:$A,"&lt;=2023/6/30")</f>
        <v>0</v>
      </c>
      <c r="G78" s="52">
        <f>SUMIFS('72期 元データ'!$F:$F,'72期 元データ'!$B:$B,採用費管理表!$A$66,'72期 元データ'!$D:$D,採用費管理表!$B78,'72期 元データ'!$A:$A,"&gt;=2023/7/1",'72期 元データ'!$A:$A,"&lt;=2023/7/31")</f>
        <v>0</v>
      </c>
      <c r="H78" s="52">
        <f>SUMIFS('72期 元データ'!$F:$F,'72期 元データ'!$B:$B,採用費管理表!$A$66,'72期 元データ'!$D:$D,採用費管理表!$B78,'72期 元データ'!$A:$A,"&gt;=2023/8/1",'72期 元データ'!$A:$A,"&lt;=2023/8/31")</f>
        <v>0</v>
      </c>
      <c r="I78" s="52">
        <f>SUMIFS('72期 元データ'!$F:$F,'72期 元データ'!$B:$B,採用費管理表!$A$66,'72期 元データ'!$D:$D,採用費管理表!$B78,'72期 元データ'!$A:$A,"&gt;=2023/9/1",'72期 元データ'!$A:$A,"&lt;=2023/9/30")</f>
        <v>0</v>
      </c>
      <c r="J78" s="52">
        <f>SUMIFS('72期 元データ'!$F:$F,'72期 元データ'!$B:$B,採用費管理表!$A$66,'72期 元データ'!$D:$D,採用費管理表!$B78,'72期 元データ'!$A:$A,"&gt;=2023/10/1",'72期 元データ'!$A:$A,"&lt;=2023/10/31")</f>
        <v>0</v>
      </c>
      <c r="K78" s="52">
        <f>SUMIFS('72期 元データ'!$F:$F,'72期 元データ'!$B:$B,採用費管理表!$A$66,'72期 元データ'!$D:$D,採用費管理表!$B78,'72期 元データ'!$A:$A,"&gt;=2023/11/1",'72期 元データ'!$A:$A,"&lt;=2023/11/30")</f>
        <v>0</v>
      </c>
      <c r="L78" s="52">
        <f>SUMIFS('72期 元データ'!$F:$F,'72期 元データ'!$B:$B,採用費管理表!$A$66,'72期 元データ'!$D:$D,採用費管理表!$B78,'72期 元データ'!$A:$A,"&gt;=2023/12/1",'72期 元データ'!$A:$A,"&lt;=2023/12/31")</f>
        <v>0</v>
      </c>
      <c r="M78" s="52">
        <f>SUMIFS('72期 元データ'!$F:$F,'72期 元データ'!$B:$B,採用費管理表!$A$66,'72期 元データ'!$D:$D,採用費管理表!$B78,'72期 元データ'!$A:$A,"&gt;=2024/1/1",'72期 元データ'!$A:$A,"&lt;=2024/1/31")</f>
        <v>0</v>
      </c>
      <c r="N78" s="52">
        <f>SUMIFS('72期 元データ'!$F:$F,'72期 元データ'!$B:$B,採用費管理表!$A$66,'72期 元データ'!$D:$D,採用費管理表!$B78,'72期 元データ'!$A:$A,"&gt;=2024/2/1",'72期 元データ'!$A:$A,"&lt;=2024/2/29")</f>
        <v>0</v>
      </c>
      <c r="O78" s="52">
        <f>SUMIFS('72期 元データ'!$F:$F,'72期 元データ'!$B:$B,採用費管理表!$A$66,'72期 元データ'!$D:$D,採用費管理表!$B78,'72期 元データ'!$A:$A,"&gt;=2024/3/1",'72期 元データ'!$A:$A,"&lt;=2024/3/31")</f>
        <v>0</v>
      </c>
      <c r="P78" s="43">
        <f t="shared" si="4"/>
        <v>0</v>
      </c>
    </row>
    <row r="79" spans="1:16" ht="17.25" customHeight="1">
      <c r="A79" s="142"/>
      <c r="B79" s="153"/>
      <c r="C79" s="44" t="s">
        <v>31</v>
      </c>
      <c r="D79" s="45">
        <v>0</v>
      </c>
      <c r="E79" s="45">
        <v>0</v>
      </c>
      <c r="F79" s="45">
        <v>0</v>
      </c>
      <c r="G79" s="45">
        <v>0</v>
      </c>
      <c r="H79" s="45">
        <v>0</v>
      </c>
      <c r="I79" s="45">
        <v>200000</v>
      </c>
      <c r="J79" s="45">
        <v>524903</v>
      </c>
      <c r="K79" s="45">
        <v>104777</v>
      </c>
      <c r="L79" s="45">
        <v>17401</v>
      </c>
      <c r="M79" s="45">
        <v>4500</v>
      </c>
      <c r="N79" s="45">
        <v>0</v>
      </c>
      <c r="O79" s="45">
        <v>0</v>
      </c>
      <c r="P79" s="46">
        <f t="shared" si="4"/>
        <v>851581</v>
      </c>
    </row>
    <row r="80" spans="1:16" ht="17.25" customHeight="1">
      <c r="A80" s="142"/>
      <c r="B80" s="153"/>
      <c r="C80" s="64" t="s">
        <v>16</v>
      </c>
      <c r="D80" s="12">
        <v>0</v>
      </c>
      <c r="E80" s="12">
        <v>0</v>
      </c>
      <c r="F80" s="12">
        <v>0</v>
      </c>
      <c r="G80" s="12">
        <v>0</v>
      </c>
      <c r="H80" s="12">
        <v>0</v>
      </c>
      <c r="I80" s="12">
        <v>0</v>
      </c>
      <c r="J80" s="12">
        <v>0</v>
      </c>
      <c r="K80" s="12">
        <v>0</v>
      </c>
      <c r="L80" s="12">
        <v>0</v>
      </c>
      <c r="M80" s="12">
        <v>0</v>
      </c>
      <c r="N80" s="12">
        <v>0</v>
      </c>
      <c r="O80" s="12">
        <v>0</v>
      </c>
      <c r="P80" s="13">
        <f t="shared" si="4"/>
        <v>0</v>
      </c>
    </row>
    <row r="81" spans="1:17" ht="17.25" customHeight="1">
      <c r="A81" s="142"/>
      <c r="B81" s="153" t="s">
        <v>21</v>
      </c>
      <c r="C81" s="26" t="s">
        <v>41</v>
      </c>
      <c r="D81" s="52">
        <f>SUMIFS('72期 元データ'!$F:$F,'72期 元データ'!$B:$B,採用費管理表!$A$66,'72期 元データ'!$D:$D,採用費管理表!$B81,'72期 元データ'!$A:$A,"&gt;=2023/4/1",'72期 元データ'!$A:$A,"&lt;=2023/4/30")</f>
        <v>0</v>
      </c>
      <c r="E81" s="52">
        <f>SUMIFS('72期 元データ'!$F:$F,'72期 元データ'!$B:$B,採用費管理表!$A$66,'72期 元データ'!$D:$D,採用費管理表!$B81,'72期 元データ'!$A:$A,"&gt;=2023/5/1",'72期 元データ'!$A:$A,"&lt;=2023/5/31")</f>
        <v>0</v>
      </c>
      <c r="F81" s="52">
        <f>SUMIFS('72期 元データ'!$F:$F,'72期 元データ'!$B:$B,採用費管理表!$A$66,'72期 元データ'!$D:$D,採用費管理表!$B81,'72期 元データ'!$A:$A,"&gt;=2023/6/1",'72期 元データ'!$A:$A,"&lt;=2023/6/30")</f>
        <v>0</v>
      </c>
      <c r="G81" s="52">
        <f>SUMIFS('72期 元データ'!$F:$F,'72期 元データ'!$B:$B,採用費管理表!$A$66,'72期 元データ'!$D:$D,採用費管理表!$B81,'72期 元データ'!$A:$A,"&gt;=2023/7/1",'72期 元データ'!$A:$A,"&lt;=2023/7/31")</f>
        <v>0</v>
      </c>
      <c r="H81" s="52">
        <f>SUMIFS('72期 元データ'!$F:$F,'72期 元データ'!$B:$B,採用費管理表!$A$66,'72期 元データ'!$D:$D,採用費管理表!$B81,'72期 元データ'!$A:$A,"&gt;=2023/8/1",'72期 元データ'!$A:$A,"&lt;=2023/8/31")</f>
        <v>0</v>
      </c>
      <c r="I81" s="52">
        <f>SUMIFS('72期 元データ'!$F:$F,'72期 元データ'!$B:$B,採用費管理表!$A$66,'72期 元データ'!$D:$D,採用費管理表!$B81,'72期 元データ'!$A:$A,"&gt;=2023/9/1",'72期 元データ'!$A:$A,"&lt;=2023/9/30")</f>
        <v>0</v>
      </c>
      <c r="J81" s="52">
        <f>SUMIFS('72期 元データ'!$F:$F,'72期 元データ'!$B:$B,採用費管理表!$A$66,'72期 元データ'!$D:$D,採用費管理表!$B81,'72期 元データ'!$A:$A,"&gt;=2023/10/1",'72期 元データ'!$A:$A,"&lt;=2023/10/31")</f>
        <v>0</v>
      </c>
      <c r="K81" s="52">
        <f>SUMIFS('72期 元データ'!$F:$F,'72期 元データ'!$B:$B,採用費管理表!$A$66,'72期 元データ'!$D:$D,採用費管理表!$B81,'72期 元データ'!$A:$A,"&gt;=2023/11/1",'72期 元データ'!$A:$A,"&lt;=2023/11/30")</f>
        <v>0</v>
      </c>
      <c r="L81" s="52">
        <f>SUMIFS('72期 元データ'!$F:$F,'72期 元データ'!$B:$B,採用費管理表!$A$66,'72期 元データ'!$D:$D,採用費管理表!$B81,'72期 元データ'!$A:$A,"&gt;=2023/12/1",'72期 元データ'!$A:$A,"&lt;=2023/12/31")</f>
        <v>0</v>
      </c>
      <c r="M81" s="52">
        <f>SUMIFS('72期 元データ'!$F:$F,'72期 元データ'!$B:$B,採用費管理表!$A$66,'72期 元データ'!$D:$D,採用費管理表!$B81,'72期 元データ'!$A:$A,"&gt;=2024/1/1",'72期 元データ'!$A:$A,"&lt;=2024/1/31")</f>
        <v>0</v>
      </c>
      <c r="N81" s="52">
        <f>SUMIFS('72期 元データ'!$F:$F,'72期 元データ'!$B:$B,採用費管理表!$A$66,'72期 元データ'!$D:$D,採用費管理表!$B81,'72期 元データ'!$A:$A,"&gt;=2024/2/1",'72期 元データ'!$A:$A,"&lt;=2024/2/29")</f>
        <v>0</v>
      </c>
      <c r="O81" s="52">
        <f>SUMIFS('72期 元データ'!$F:$F,'72期 元データ'!$B:$B,採用費管理表!$A$66,'72期 元データ'!$D:$D,採用費管理表!$B81,'72期 元データ'!$A:$A,"&gt;=2024/3/1",'72期 元データ'!$A:$A,"&lt;=2024/3/31")</f>
        <v>0</v>
      </c>
      <c r="P81" s="43">
        <f t="shared" si="4"/>
        <v>0</v>
      </c>
    </row>
    <row r="82" spans="1:17" ht="17.25" customHeight="1">
      <c r="A82" s="142"/>
      <c r="B82" s="153"/>
      <c r="C82" s="44" t="s">
        <v>31</v>
      </c>
      <c r="D82" s="45">
        <v>0</v>
      </c>
      <c r="E82" s="45">
        <v>0</v>
      </c>
      <c r="F82" s="45">
        <v>67530</v>
      </c>
      <c r="G82" s="45">
        <v>1282</v>
      </c>
      <c r="H82" s="45">
        <v>3568</v>
      </c>
      <c r="I82" s="45">
        <v>242888</v>
      </c>
      <c r="J82" s="45">
        <v>9720</v>
      </c>
      <c r="K82" s="45">
        <v>0</v>
      </c>
      <c r="L82" s="45">
        <v>29872</v>
      </c>
      <c r="M82" s="45">
        <v>0</v>
      </c>
      <c r="N82" s="45">
        <v>0</v>
      </c>
      <c r="O82" s="45">
        <v>0</v>
      </c>
      <c r="P82" s="46">
        <f t="shared" si="4"/>
        <v>354860</v>
      </c>
    </row>
    <row r="83" spans="1:17" ht="17.25" customHeight="1" thickBot="1">
      <c r="A83" s="143"/>
      <c r="B83" s="154"/>
      <c r="C83" s="25" t="s">
        <v>16</v>
      </c>
      <c r="D83" s="12">
        <v>18599</v>
      </c>
      <c r="E83" s="12">
        <v>0</v>
      </c>
      <c r="F83" s="12">
        <v>41800</v>
      </c>
      <c r="G83" s="12">
        <v>0</v>
      </c>
      <c r="H83" s="12">
        <v>601</v>
      </c>
      <c r="I83" s="12">
        <v>150000</v>
      </c>
      <c r="J83" s="12">
        <v>0</v>
      </c>
      <c r="K83" s="12">
        <v>0</v>
      </c>
      <c r="L83" s="12">
        <v>24260</v>
      </c>
      <c r="M83" s="12">
        <v>5600</v>
      </c>
      <c r="N83" s="12">
        <v>1618</v>
      </c>
      <c r="O83" s="12">
        <v>0</v>
      </c>
      <c r="P83" s="13">
        <f t="shared" si="4"/>
        <v>242478</v>
      </c>
    </row>
    <row r="84" spans="1:17" ht="20.25" customHeight="1" thickBot="1">
      <c r="A84" s="139" t="s">
        <v>86</v>
      </c>
      <c r="B84" s="140"/>
      <c r="C84" s="141"/>
      <c r="D84" s="92">
        <f>$P$84/12</f>
        <v>6500000</v>
      </c>
      <c r="E84" s="93">
        <f t="shared" ref="E84:O84" si="5">$P$84/12</f>
        <v>6500000</v>
      </c>
      <c r="F84" s="93">
        <f t="shared" si="5"/>
        <v>6500000</v>
      </c>
      <c r="G84" s="93">
        <f t="shared" si="5"/>
        <v>6500000</v>
      </c>
      <c r="H84" s="93">
        <f t="shared" si="5"/>
        <v>6500000</v>
      </c>
      <c r="I84" s="94">
        <f t="shared" si="5"/>
        <v>6500000</v>
      </c>
      <c r="J84" s="94">
        <f t="shared" si="5"/>
        <v>6500000</v>
      </c>
      <c r="K84" s="94">
        <f t="shared" si="5"/>
        <v>6500000</v>
      </c>
      <c r="L84" s="94">
        <f t="shared" si="5"/>
        <v>6500000</v>
      </c>
      <c r="M84" s="94">
        <f t="shared" si="5"/>
        <v>6500000</v>
      </c>
      <c r="N84" s="94">
        <f t="shared" si="5"/>
        <v>6500000</v>
      </c>
      <c r="O84" s="92">
        <f t="shared" si="5"/>
        <v>6500000</v>
      </c>
      <c r="P84" s="91">
        <v>78000000</v>
      </c>
      <c r="Q84" s="23"/>
    </row>
    <row r="85" spans="1:17" ht="20.25" customHeight="1">
      <c r="A85" s="144" t="s">
        <v>40</v>
      </c>
      <c r="B85" s="145"/>
      <c r="C85" s="146"/>
      <c r="D85" s="99">
        <f t="shared" ref="D85:P85" si="6">SUMIF($C$3:$C$83,$C$3,D3:D83)</f>
        <v>0</v>
      </c>
      <c r="E85" s="97">
        <f>SUMIF($C$3:$C$83,$C$3,E3:E83)</f>
        <v>0</v>
      </c>
      <c r="F85" s="97">
        <f t="shared" si="6"/>
        <v>0</v>
      </c>
      <c r="G85" s="97">
        <f t="shared" si="6"/>
        <v>0</v>
      </c>
      <c r="H85" s="97">
        <f t="shared" si="6"/>
        <v>0</v>
      </c>
      <c r="I85" s="97">
        <f t="shared" si="6"/>
        <v>0</v>
      </c>
      <c r="J85" s="97">
        <f t="shared" si="6"/>
        <v>0</v>
      </c>
      <c r="K85" s="97">
        <f t="shared" si="6"/>
        <v>0</v>
      </c>
      <c r="L85" s="97">
        <f t="shared" si="6"/>
        <v>0</v>
      </c>
      <c r="M85" s="97">
        <f t="shared" si="6"/>
        <v>0</v>
      </c>
      <c r="N85" s="97">
        <f t="shared" si="6"/>
        <v>0</v>
      </c>
      <c r="O85" s="100">
        <f t="shared" si="6"/>
        <v>0</v>
      </c>
      <c r="P85" s="100">
        <f t="shared" si="6"/>
        <v>0</v>
      </c>
      <c r="Q85" s="23"/>
    </row>
    <row r="86" spans="1:17" ht="20.25" customHeight="1">
      <c r="A86" s="147" t="s">
        <v>32</v>
      </c>
      <c r="B86" s="148"/>
      <c r="C86" s="149"/>
      <c r="D86" s="101">
        <f>SUMIF($C$3:$C$83,$C$4,D3:D83)</f>
        <v>5101457</v>
      </c>
      <c r="E86" s="98">
        <f>SUMIF($C$3:$C$83,$C$4,E3:E83)</f>
        <v>4310561</v>
      </c>
      <c r="F86" s="98">
        <f t="shared" ref="F86:P86" si="7">SUMIF($C$3:$C$83,$C$4,F3:F83)</f>
        <v>5868220</v>
      </c>
      <c r="G86" s="98">
        <f t="shared" si="7"/>
        <v>6537137</v>
      </c>
      <c r="H86" s="98">
        <f t="shared" si="7"/>
        <v>12776923</v>
      </c>
      <c r="I86" s="98">
        <f t="shared" si="7"/>
        <v>11954981</v>
      </c>
      <c r="J86" s="98">
        <f t="shared" si="7"/>
        <v>22013662</v>
      </c>
      <c r="K86" s="98">
        <f t="shared" si="7"/>
        <v>11519229</v>
      </c>
      <c r="L86" s="98">
        <f t="shared" si="7"/>
        <v>13094164</v>
      </c>
      <c r="M86" s="98">
        <f t="shared" si="7"/>
        <v>7470334</v>
      </c>
      <c r="N86" s="98">
        <f t="shared" si="7"/>
        <v>10056326</v>
      </c>
      <c r="O86" s="102">
        <f t="shared" si="7"/>
        <v>12359452</v>
      </c>
      <c r="P86" s="102">
        <f t="shared" si="7"/>
        <v>123062446</v>
      </c>
      <c r="Q86" s="23"/>
    </row>
    <row r="87" spans="1:17" ht="20.25" customHeight="1" thickBot="1">
      <c r="A87" s="150" t="s">
        <v>18</v>
      </c>
      <c r="B87" s="151"/>
      <c r="C87" s="152"/>
      <c r="D87" s="104">
        <f>SUMIF($C$3:$C$83,$C$5,D3:D83)</f>
        <v>1087548</v>
      </c>
      <c r="E87" s="95">
        <f t="shared" ref="E87:P87" si="8">SUMIF($C$3:$C$83,$C$5,E3:E83)</f>
        <v>5870780</v>
      </c>
      <c r="F87" s="95">
        <f t="shared" si="8"/>
        <v>711201</v>
      </c>
      <c r="G87" s="95">
        <f t="shared" si="8"/>
        <v>5307201</v>
      </c>
      <c r="H87" s="95">
        <f t="shared" si="8"/>
        <v>6394453</v>
      </c>
      <c r="I87" s="95">
        <f t="shared" si="8"/>
        <v>1362916</v>
      </c>
      <c r="J87" s="95">
        <f t="shared" si="8"/>
        <v>4861755</v>
      </c>
      <c r="K87" s="95">
        <f t="shared" si="8"/>
        <v>2784167</v>
      </c>
      <c r="L87" s="95">
        <f t="shared" si="8"/>
        <v>4840140</v>
      </c>
      <c r="M87" s="95">
        <f t="shared" si="8"/>
        <v>1681027</v>
      </c>
      <c r="N87" s="95">
        <f t="shared" si="8"/>
        <v>3856241</v>
      </c>
      <c r="O87" s="105">
        <f t="shared" si="8"/>
        <v>14305045</v>
      </c>
      <c r="P87" s="105">
        <f t="shared" si="8"/>
        <v>53062474</v>
      </c>
      <c r="Q87" s="23"/>
    </row>
    <row r="88" spans="1:17" ht="20.7" customHeight="1" thickBot="1">
      <c r="A88" s="139" t="s">
        <v>87</v>
      </c>
      <c r="B88" s="140"/>
      <c r="C88" s="140"/>
      <c r="D88" s="96">
        <f>D85/D84</f>
        <v>0</v>
      </c>
      <c r="E88" s="106">
        <f>E85/E84</f>
        <v>0</v>
      </c>
      <c r="F88" s="106">
        <f t="shared" ref="F88:O88" si="9">F85/F84</f>
        <v>0</v>
      </c>
      <c r="G88" s="106">
        <f t="shared" si="9"/>
        <v>0</v>
      </c>
      <c r="H88" s="106">
        <f t="shared" si="9"/>
        <v>0</v>
      </c>
      <c r="I88" s="106">
        <f t="shared" si="9"/>
        <v>0</v>
      </c>
      <c r="J88" s="106">
        <f t="shared" si="9"/>
        <v>0</v>
      </c>
      <c r="K88" s="106">
        <f t="shared" si="9"/>
        <v>0</v>
      </c>
      <c r="L88" s="106">
        <f t="shared" si="9"/>
        <v>0</v>
      </c>
      <c r="M88" s="106">
        <f t="shared" si="9"/>
        <v>0</v>
      </c>
      <c r="N88" s="106">
        <f t="shared" si="9"/>
        <v>0</v>
      </c>
      <c r="O88" s="107">
        <f t="shared" si="9"/>
        <v>0</v>
      </c>
      <c r="P88" s="103">
        <f>P85/P84</f>
        <v>0</v>
      </c>
    </row>
  </sheetData>
  <mergeCells count="39">
    <mergeCell ref="B33:B35"/>
    <mergeCell ref="B30:B32"/>
    <mergeCell ref="B27:B29"/>
    <mergeCell ref="B21:B23"/>
    <mergeCell ref="B1:P1"/>
    <mergeCell ref="B3:B5"/>
    <mergeCell ref="B18:B20"/>
    <mergeCell ref="B24:B26"/>
    <mergeCell ref="B15:B17"/>
    <mergeCell ref="B12:B14"/>
    <mergeCell ref="B9:B11"/>
    <mergeCell ref="B6:B8"/>
    <mergeCell ref="B54:B56"/>
    <mergeCell ref="B36:B38"/>
    <mergeCell ref="B72:B74"/>
    <mergeCell ref="B69:B71"/>
    <mergeCell ref="B66:B68"/>
    <mergeCell ref="B60:B62"/>
    <mergeCell ref="B51:B53"/>
    <mergeCell ref="B57:B59"/>
    <mergeCell ref="B63:B65"/>
    <mergeCell ref="B48:B50"/>
    <mergeCell ref="B45:B47"/>
    <mergeCell ref="B42:B44"/>
    <mergeCell ref="B39:B41"/>
    <mergeCell ref="A3:A26"/>
    <mergeCell ref="A27:A41"/>
    <mergeCell ref="A42:A50"/>
    <mergeCell ref="A51:A59"/>
    <mergeCell ref="A60:A65"/>
    <mergeCell ref="A84:C84"/>
    <mergeCell ref="A88:C88"/>
    <mergeCell ref="A66:A83"/>
    <mergeCell ref="A85:C85"/>
    <mergeCell ref="A86:C86"/>
    <mergeCell ref="A87:C87"/>
    <mergeCell ref="B81:B83"/>
    <mergeCell ref="B78:B80"/>
    <mergeCell ref="B75:B77"/>
  </mergeCells>
  <phoneticPr fontId="1"/>
  <dataValidations count="1">
    <dataValidation type="custom" allowBlank="1" showInputMessage="1" showErrorMessage="1" sqref="D10:O11 P3:P83 D4:O5 D7:O8 D13:O14 D16:O17 D19:O20 D82:O83 D22:O23 D28:O29 D31:O32 D34:O35 D37:O38 D40:O41 D43:O44 D46:O47 D49:O50 D52:O53 D55:O56 D58:O59 D61:O62 D64:O65 D67:O68 D70:O71 D73:O74 D76:O77 D79:O80 D25:O26" xr:uid="{7EE83FE5-8B61-4F4F-81D8-63874C758944}">
      <formula1>ROUND(D3,10)-ROUNDDOWN(D3,0)=0</formula1>
    </dataValidation>
  </dataValidations>
  <pageMargins left="0.59055118110236227" right="0.59055118110236227" top="0.39370078740157483" bottom="0.3937007874015748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6AE96-61CC-4077-93FC-EF20287917EE}">
  <sheetPr codeName="Sheet2">
    <tabColor rgb="FFFFFF00"/>
  </sheetPr>
  <dimension ref="A1:T72"/>
  <sheetViews>
    <sheetView showGridLines="0" zoomScale="70" zoomScaleNormal="70" workbookViewId="0">
      <pane xSplit="2" ySplit="2" topLeftCell="C3" activePane="bottomRight" state="frozen"/>
      <selection activeCell="H37" sqref="H37"/>
      <selection pane="topRight" activeCell="H37" sqref="H37"/>
      <selection pane="bottomLeft" activeCell="H37" sqref="H37"/>
      <selection pane="bottomRight" activeCell="A21" sqref="A21:B21"/>
    </sheetView>
  </sheetViews>
  <sheetFormatPr defaultRowHeight="13.2"/>
  <cols>
    <col min="1" max="1" width="14.6640625" customWidth="1"/>
    <col min="2" max="2" width="9.109375" style="29" bestFit="1" customWidth="1"/>
    <col min="3" max="15" width="8.109375" customWidth="1"/>
    <col min="17" max="17" width="18.109375" bestFit="1" customWidth="1"/>
    <col min="18" max="18" width="10.21875" bestFit="1" customWidth="1"/>
    <col min="19" max="19" width="9.44140625" bestFit="1" customWidth="1"/>
    <col min="20" max="20" width="9.21875" bestFit="1" customWidth="1"/>
  </cols>
  <sheetData>
    <row r="1" spans="1:20" ht="21.75" customHeight="1" thickBot="1">
      <c r="A1" s="170" t="s">
        <v>11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1"/>
      <c r="P1" s="3" t="s">
        <v>10</v>
      </c>
    </row>
    <row r="2" spans="1:20" ht="24.75" customHeight="1" thickBot="1">
      <c r="A2" s="5" t="s">
        <v>9</v>
      </c>
      <c r="B2" s="27"/>
      <c r="C2" s="2" t="s">
        <v>12</v>
      </c>
      <c r="D2" s="2" t="s">
        <v>13</v>
      </c>
      <c r="E2" s="2" t="s">
        <v>6</v>
      </c>
      <c r="F2" s="2" t="s">
        <v>7</v>
      </c>
      <c r="G2" s="2" t="s">
        <v>8</v>
      </c>
      <c r="H2" s="2" t="s">
        <v>14</v>
      </c>
      <c r="I2" s="2" t="s">
        <v>0</v>
      </c>
      <c r="J2" s="2" t="s">
        <v>1</v>
      </c>
      <c r="K2" s="2" t="s">
        <v>2</v>
      </c>
      <c r="L2" s="2" t="s">
        <v>3</v>
      </c>
      <c r="M2" s="2" t="s">
        <v>4</v>
      </c>
      <c r="N2" s="2" t="s">
        <v>5</v>
      </c>
      <c r="O2" s="4" t="s">
        <v>19</v>
      </c>
      <c r="Q2" s="69"/>
      <c r="R2" s="70" t="s">
        <v>64</v>
      </c>
      <c r="S2" s="70" t="s">
        <v>65</v>
      </c>
      <c r="T2" s="71" t="s">
        <v>39</v>
      </c>
    </row>
    <row r="3" spans="1:20" ht="18.600000000000001" customHeight="1">
      <c r="A3" s="174" t="s">
        <v>25</v>
      </c>
      <c r="B3" s="30" t="s">
        <v>41</v>
      </c>
      <c r="C3" s="9">
        <f>SUM(採用費管理表!D3+採用費管理表!D6+採用費管理表!D9+採用費管理表!D12+採用費管理表!D15+採用費管理表!D18+採用費管理表!D21+採用費管理表!D24)</f>
        <v>0</v>
      </c>
      <c r="D3" s="9">
        <f>SUM(採用費管理表!E3+採用費管理表!E6+採用費管理表!E9+採用費管理表!E12+採用費管理表!E15+採用費管理表!E18+採用費管理表!E21+採用費管理表!E24)</f>
        <v>0</v>
      </c>
      <c r="E3" s="9">
        <f>採用費管理表!F3+採用費管理表!F6+採用費管理表!F9+採用費管理表!F12+採用費管理表!F15+採用費管理表!F18+採用費管理表!F21+採用費管理表!F24</f>
        <v>0</v>
      </c>
      <c r="F3" s="9">
        <f>採用費管理表!G3+採用費管理表!G6+採用費管理表!G9+採用費管理表!G12+採用費管理表!G15+採用費管理表!G18+採用費管理表!G21+採用費管理表!G24</f>
        <v>0</v>
      </c>
      <c r="G3" s="9">
        <f>採用費管理表!H3+採用費管理表!H6+採用費管理表!H9+採用費管理表!H12+採用費管理表!H15+採用費管理表!H18+採用費管理表!H21+採用費管理表!H24</f>
        <v>0</v>
      </c>
      <c r="H3" s="9">
        <f>採用費管理表!I3+採用費管理表!I6+採用費管理表!I9+採用費管理表!I12+採用費管理表!I15+採用費管理表!I18+採用費管理表!I21+採用費管理表!I24</f>
        <v>0</v>
      </c>
      <c r="I3" s="9">
        <f>採用費管理表!J3+採用費管理表!J6+採用費管理表!J9+採用費管理表!J12+採用費管理表!J15+採用費管理表!J18+採用費管理表!J21+採用費管理表!J24</f>
        <v>0</v>
      </c>
      <c r="J3" s="9">
        <f>採用費管理表!K3+採用費管理表!K6+採用費管理表!K9+採用費管理表!K12+採用費管理表!K15+採用費管理表!K18+採用費管理表!K21+採用費管理表!K24</f>
        <v>0</v>
      </c>
      <c r="K3" s="9">
        <f>採用費管理表!L3+採用費管理表!L6+採用費管理表!L9+採用費管理表!L12+採用費管理表!L15+採用費管理表!L18+採用費管理表!L21+採用費管理表!L24</f>
        <v>0</v>
      </c>
      <c r="L3" s="9">
        <f>採用費管理表!M3+採用費管理表!M6+採用費管理表!M9+採用費管理表!M12+採用費管理表!M15+採用費管理表!M18+採用費管理表!M21+採用費管理表!M24</f>
        <v>0</v>
      </c>
      <c r="M3" s="9">
        <f>採用費管理表!N3+採用費管理表!N6+採用費管理表!N9+採用費管理表!N12+採用費管理表!N15+採用費管理表!N18+採用費管理表!N21+採用費管理表!N24</f>
        <v>0</v>
      </c>
      <c r="N3" s="9">
        <f>採用費管理表!O3+採用費管理表!O6+採用費管理表!O9+採用費管理表!O12+採用費管理表!O15+採用費管理表!O18+採用費管理表!O21+採用費管理表!O24</f>
        <v>0</v>
      </c>
      <c r="O3" s="10">
        <f t="shared" ref="O3" si="0">SUM(C3:N3)</f>
        <v>0</v>
      </c>
      <c r="Q3" s="69" t="s">
        <v>38</v>
      </c>
      <c r="R3" s="72">
        <v>3028268</v>
      </c>
      <c r="S3" s="73">
        <v>21</v>
      </c>
      <c r="T3" s="74">
        <f>R3/S3</f>
        <v>144203.23809523811</v>
      </c>
    </row>
    <row r="4" spans="1:20" ht="18.600000000000001" customHeight="1">
      <c r="A4" s="175"/>
      <c r="B4" s="28" t="s">
        <v>31</v>
      </c>
      <c r="C4" s="40">
        <f>採用費管理表!D4+採用費管理表!D7+採用費管理表!D10+採用費管理表!D13+採用費管理表!D16+採用費管理表!D19+採用費管理表!D22+採用費管理表!D25</f>
        <v>485961</v>
      </c>
      <c r="D4" s="40">
        <f>SUM(採用費管理表!E4+採用費管理表!E7+採用費管理表!E10+採用費管理表!E13+採用費管理表!E16+採用費管理表!E19+採用費管理表!E22+採用費管理表!E25)</f>
        <v>836259</v>
      </c>
      <c r="E4" s="40">
        <f>採用費管理表!F4+採用費管理表!F7+採用費管理表!F10+採用費管理表!F13+採用費管理表!F16+採用費管理表!F19+採用費管理表!F22+採用費管理表!F25</f>
        <v>1179711</v>
      </c>
      <c r="F4" s="40">
        <f>採用費管理表!G4+採用費管理表!G7+採用費管理表!G10+採用費管理表!G13+採用費管理表!G16+採用費管理表!G19+採用費管理表!G22+採用費管理表!G25</f>
        <v>965764</v>
      </c>
      <c r="G4" s="40">
        <f>採用費管理表!H4+採用費管理表!H7+採用費管理表!H10+採用費管理表!H13+採用費管理表!H16+採用費管理表!H19+採用費管理表!H22+採用費管理表!H25</f>
        <v>2453547</v>
      </c>
      <c r="H4" s="40">
        <f>採用費管理表!I4+採用費管理表!I7+採用費管理表!I10+採用費管理表!I13+採用費管理表!I16+採用費管理表!I19+採用費管理表!I22+採用費管理表!I25</f>
        <v>321371</v>
      </c>
      <c r="I4" s="40">
        <f>採用費管理表!J4+採用費管理表!J7+採用費管理表!J10+採用費管理表!J13+採用費管理表!J16+採用費管理表!J19+採用費管理表!J22+採用費管理表!J25</f>
        <v>5226248</v>
      </c>
      <c r="J4" s="40">
        <f>採用費管理表!K4+採用費管理表!K7+採用費管理表!K10+採用費管理表!K13+採用費管理表!K16+採用費管理表!K19+採用費管理表!K22+採用費管理表!K25</f>
        <v>590125</v>
      </c>
      <c r="K4" s="40">
        <f>採用費管理表!L4+採用費管理表!L7+採用費管理表!L10+採用費管理表!L13+採用費管理表!L16+採用費管理表!L19+採用費管理表!L22+採用費管理表!L25</f>
        <v>980649</v>
      </c>
      <c r="L4" s="40">
        <f>採用費管理表!M4+採用費管理表!M7+採用費管理表!M10+採用費管理表!M13+採用費管理表!M16+採用費管理表!M19+採用費管理表!M22+採用費管理表!M25</f>
        <v>232428</v>
      </c>
      <c r="M4" s="40">
        <f>採用費管理表!N4+採用費管理表!N7+採用費管理表!N10+採用費管理表!N13+採用費管理表!N16+採用費管理表!N19+採用費管理表!N22+採用費管理表!N25</f>
        <v>539572</v>
      </c>
      <c r="N4" s="40">
        <f>採用費管理表!O4+採用費管理表!O7+採用費管理表!O10+採用費管理表!O13+採用費管理表!O16+採用費管理表!O19+採用費管理表!O22+採用費管理表!O25</f>
        <v>1134598</v>
      </c>
      <c r="O4" s="42">
        <f t="shared" ref="O4:O20" si="1">SUM(C4:N4)</f>
        <v>14946233</v>
      </c>
      <c r="Q4" s="75" t="s">
        <v>37</v>
      </c>
      <c r="R4" s="76">
        <v>12052767</v>
      </c>
      <c r="S4" s="77">
        <v>28</v>
      </c>
      <c r="T4" s="78">
        <f>R4/S4</f>
        <v>430455.96428571426</v>
      </c>
    </row>
    <row r="5" spans="1:20" ht="17.25" customHeight="1">
      <c r="A5" s="176"/>
      <c r="B5" s="35" t="s">
        <v>16</v>
      </c>
      <c r="C5" s="11">
        <f>採用費管理表!D5+採用費管理表!D8+採用費管理表!D11+採用費管理表!D14+採用費管理表!D17+採用費管理表!D20+採用費管理表!D23+採用費管理表!D26</f>
        <v>811017</v>
      </c>
      <c r="D5" s="11">
        <f>SUM(採用費管理表!E5+採用費管理表!E8+採用費管理表!E11+採用費管理表!E14+採用費管理表!E17+採用費管理表!E20+採用費管理表!E23+採用費管理表!E26)</f>
        <v>170912</v>
      </c>
      <c r="E5" s="11">
        <f>採用費管理表!F5+採用費管理表!F8+採用費管理表!F11+採用費管理表!F14+採用費管理表!F17+採用費管理表!F20+採用費管理表!F23+採用費管理表!F26</f>
        <v>379128</v>
      </c>
      <c r="F5" s="11">
        <f>採用費管理表!G5+採用費管理表!G8+採用費管理表!G11+採用費管理表!G14+採用費管理表!G17+採用費管理表!G20+採用費管理表!G23+採用費管理表!G26</f>
        <v>2251594</v>
      </c>
      <c r="G5" s="11">
        <f>採用費管理表!H5+採用費管理表!H8+採用費管理表!H11+採用費管理表!H14+採用費管理表!H17+採用費管理表!H20+採用費管理表!H23+採用費管理表!H26</f>
        <v>226875</v>
      </c>
      <c r="H5" s="11">
        <f>採用費管理表!I5+採用費管理表!I8+採用費管理表!I11+採用費管理表!I14+採用費管理表!I17+採用費管理表!I20+採用費管理表!I23+採用費管理表!I26</f>
        <v>124056</v>
      </c>
      <c r="I5" s="11">
        <f>採用費管理表!J5+採用費管理表!J8+採用費管理表!J11+採用費管理表!J14+採用費管理表!J17+採用費管理表!J20+採用費管理表!J23+採用費管理表!J26</f>
        <v>843735</v>
      </c>
      <c r="J5" s="11">
        <f>採用費管理表!K5+採用費管理表!K8+採用費管理表!K11+採用費管理表!K14+採用費管理表!K17+採用費管理表!K20+採用費管理表!K23+採用費管理表!K26</f>
        <v>195220</v>
      </c>
      <c r="K5" s="11">
        <f>採用費管理表!L5+採用費管理表!L8+採用費管理表!L11+採用費管理表!L14+採用費管理表!L17+採用費管理表!L20+採用費管理表!L23+採用費管理表!L26</f>
        <v>125699</v>
      </c>
      <c r="L5" s="11">
        <f>採用費管理表!M5+採用費管理表!M8+採用費管理表!M11+採用費管理表!M14+採用費管理表!M17+採用費管理表!M20+採用費管理表!M23+採用費管理表!M26</f>
        <v>103810</v>
      </c>
      <c r="M5" s="11">
        <f>採用費管理表!N5+採用費管理表!N8+採用費管理表!N11+採用費管理表!N14+採用費管理表!N17+採用費管理表!N20+採用費管理表!N23+採用費管理表!N26</f>
        <v>30744</v>
      </c>
      <c r="N5" s="11">
        <f>採用費管理表!O5+採用費管理表!O8+採用費管理表!O11+採用費管理表!O14+採用費管理表!O17+採用費管理表!O20+採用費管理表!O23+採用費管理表!O26</f>
        <v>202855</v>
      </c>
      <c r="O5" s="36">
        <f>SUM(C5:N5)</f>
        <v>5465645</v>
      </c>
      <c r="Q5" s="79" t="s">
        <v>66</v>
      </c>
      <c r="R5" s="80">
        <v>4965726</v>
      </c>
      <c r="S5" s="81">
        <v>17</v>
      </c>
      <c r="T5" s="82">
        <f>R5/S5</f>
        <v>292101.5294117647</v>
      </c>
    </row>
    <row r="6" spans="1:20" ht="17.25" customHeight="1">
      <c r="A6" s="174" t="s">
        <v>26</v>
      </c>
      <c r="B6" s="30" t="s">
        <v>41</v>
      </c>
      <c r="C6" s="33">
        <f>SUM(採用費管理表!D27+採用費管理表!D30+採用費管理表!D33+採用費管理表!D36+採用費管理表!D39)</f>
        <v>0</v>
      </c>
      <c r="D6" s="33">
        <f>採用費管理表!E27+採用費管理表!E30+採用費管理表!E33+採用費管理表!E36+採用費管理表!E39</f>
        <v>0</v>
      </c>
      <c r="E6" s="33">
        <f>採用費管理表!F27+採用費管理表!F30+採用費管理表!F33+採用費管理表!F36+採用費管理表!F39</f>
        <v>0</v>
      </c>
      <c r="F6" s="33">
        <f>採用費管理表!G27+採用費管理表!G30+採用費管理表!G33+採用費管理表!G36+採用費管理表!G39</f>
        <v>0</v>
      </c>
      <c r="G6" s="33">
        <f>採用費管理表!H27+採用費管理表!H30+採用費管理表!H33+採用費管理表!H36+採用費管理表!H39</f>
        <v>0</v>
      </c>
      <c r="H6" s="33">
        <f>採用費管理表!I27+採用費管理表!I30+採用費管理表!I33+採用費管理表!I36+採用費管理表!I39</f>
        <v>0</v>
      </c>
      <c r="I6" s="33">
        <f>採用費管理表!J27+採用費管理表!J30+採用費管理表!J33+採用費管理表!J36+採用費管理表!J39</f>
        <v>0</v>
      </c>
      <c r="J6" s="33">
        <f>採用費管理表!K27+採用費管理表!K30+採用費管理表!K33+採用費管理表!K36+採用費管理表!K39</f>
        <v>0</v>
      </c>
      <c r="K6" s="33">
        <f>採用費管理表!L27+採用費管理表!L30+採用費管理表!L33+採用費管理表!L36+採用費管理表!L39</f>
        <v>0</v>
      </c>
      <c r="L6" s="33">
        <f>採用費管理表!M27+採用費管理表!M30+採用費管理表!M33+採用費管理表!M36+採用費管理表!M39</f>
        <v>0</v>
      </c>
      <c r="M6" s="33">
        <f>採用費管理表!N27+採用費管理表!N30+採用費管理表!N33+採用費管理表!N36+採用費管理表!N39</f>
        <v>0</v>
      </c>
      <c r="N6" s="33">
        <f>採用費管理表!O27+採用費管理表!O30+採用費管理表!O33+採用費管理表!O36+採用費管理表!O39</f>
        <v>0</v>
      </c>
      <c r="O6" s="34">
        <f>SUM(C6:N6)</f>
        <v>0</v>
      </c>
      <c r="Q6" s="75" t="s">
        <v>93</v>
      </c>
      <c r="R6" s="72">
        <f>SUM(採用費管理表!P27+採用費管理表!P30+採用費管理表!P33+採用費管理表!P36+採用費管理表!P39)</f>
        <v>0</v>
      </c>
      <c r="S6" s="83">
        <v>7</v>
      </c>
      <c r="T6" s="74">
        <f>R6/S6</f>
        <v>0</v>
      </c>
    </row>
    <row r="7" spans="1:20" ht="18" customHeight="1">
      <c r="A7" s="175"/>
      <c r="B7" s="28" t="s">
        <v>31</v>
      </c>
      <c r="C7" s="40">
        <f>採用費管理表!D28+採用費管理表!D31+採用費管理表!D34+採用費管理表!D37+採用費管理表!D40</f>
        <v>4066896</v>
      </c>
      <c r="D7" s="40">
        <f>採用費管理表!E28+採用費管理表!E31+採用費管理表!E34+採用費管理表!E37+採用費管理表!E40</f>
        <v>2850060</v>
      </c>
      <c r="E7" s="40">
        <f>採用費管理表!F28+採用費管理表!F31+採用費管理表!F34+採用費管理表!F37+採用費管理表!F40</f>
        <v>2431361</v>
      </c>
      <c r="F7" s="40">
        <f>採用費管理表!G28+採用費管理表!G31+採用費管理表!G34+採用費管理表!G37+採用費管理表!G40</f>
        <v>1748826</v>
      </c>
      <c r="G7" s="40">
        <f>採用費管理表!H28+採用費管理表!H31+採用費管理表!H34+採用費管理表!H37+採用費管理表!H40</f>
        <v>7253336</v>
      </c>
      <c r="H7" s="40">
        <f>採用費管理表!I28+採用費管理表!I31+採用費管理表!I34+採用費管理表!I37+採用費管理表!I40</f>
        <v>8432066</v>
      </c>
      <c r="I7" s="40">
        <f>採用費管理表!J28+採用費管理表!J31+採用費管理表!J34+採用費管理表!J37+採用費管理表!J40</f>
        <v>5598361</v>
      </c>
      <c r="J7" s="40">
        <f>採用費管理表!K28+採用費管理表!K31+採用費管理表!K34+採用費管理表!K37+採用費管理表!K40</f>
        <v>9341277</v>
      </c>
      <c r="K7" s="40">
        <f>採用費管理表!L28+採用費管理表!L31+採用費管理表!L34+採用費管理表!L37+採用費管理表!L40</f>
        <v>7278362</v>
      </c>
      <c r="L7" s="40">
        <f>採用費管理表!M28+採用費管理表!M31+採用費管理表!M34+採用費管理表!M37+採用費管理表!M40</f>
        <v>3356276</v>
      </c>
      <c r="M7" s="40">
        <f>採用費管理表!N28+採用費管理表!N31+採用費管理表!N34+採用費管理表!N37+採用費管理表!N40</f>
        <v>6142602</v>
      </c>
      <c r="N7" s="40">
        <f>採用費管理表!O28+採用費管理表!O31+採用費管理表!O34+採用費管理表!O37+採用費管理表!O40</f>
        <v>790336</v>
      </c>
      <c r="O7" s="41">
        <f t="shared" ref="O7:O19" si="2">SUM(C7:N7)</f>
        <v>59289759</v>
      </c>
      <c r="Q7" s="75" t="s">
        <v>67</v>
      </c>
      <c r="R7" s="115">
        <f>採用費管理表!P28+採用費管理表!P31+採用費管理表!P34+採用費管理表!P37+採用費管理表!P40</f>
        <v>59289759</v>
      </c>
      <c r="S7" s="77">
        <v>42</v>
      </c>
      <c r="T7" s="78">
        <f>R7/S7</f>
        <v>1411660.9285714286</v>
      </c>
    </row>
    <row r="8" spans="1:20" ht="17.25" customHeight="1">
      <c r="A8" s="176"/>
      <c r="B8" s="35" t="s">
        <v>16</v>
      </c>
      <c r="C8" s="11">
        <f>採用費管理表!D29+採用費管理表!D32+採用費管理表!D35+採用費管理表!D38+採用費管理表!D41</f>
        <v>21432</v>
      </c>
      <c r="D8" s="11">
        <f>採用費管理表!E29+採用費管理表!E32+採用費管理表!E35+採用費管理表!E38+採用費管理表!E41</f>
        <v>5360518</v>
      </c>
      <c r="E8" s="11">
        <f>採用費管理表!F29+採用費管理表!F32+採用費管理表!F35+採用費管理表!F38+採用費管理表!F41</f>
        <v>52123</v>
      </c>
      <c r="F8" s="11">
        <f>採用費管理表!G29+採用費管理表!G32+採用費管理表!G35+採用費管理表!G38+採用費管理表!G41</f>
        <v>2744857</v>
      </c>
      <c r="G8" s="11">
        <f>採用費管理表!H29+採用費管理表!H32+採用費管理表!H35+採用費管理表!H38+採用費管理表!H41</f>
        <v>5898302</v>
      </c>
      <c r="H8" s="11">
        <f>採用費管理表!I29+採用費管理表!I32+採用費管理表!I35+採用費管理表!I38+採用費管理表!I41</f>
        <v>779760</v>
      </c>
      <c r="I8" s="11">
        <f>採用費管理表!J29+採用費管理表!J32+採用費管理表!J35+採用費管理表!J38+採用費管理表!J41</f>
        <v>3485620</v>
      </c>
      <c r="J8" s="11">
        <f>採用費管理表!K29+採用費管理表!K32+採用費管理表!K35+採用費管理表!K38+採用費管理表!K41</f>
        <v>2135928</v>
      </c>
      <c r="K8" s="11">
        <f>採用費管理表!L29+採用費管理表!L32+採用費管理表!L35+採用費管理表!L38+採用費管理表!L41</f>
        <v>1730634</v>
      </c>
      <c r="L8" s="11">
        <f>採用費管理表!M29+採用費管理表!M32+採用費管理表!M35+採用費管理表!M38+採用費管理表!M41</f>
        <v>204737</v>
      </c>
      <c r="M8" s="11">
        <f>採用費管理表!N29+採用費管理表!N32+採用費管理表!N35+採用費管理表!N38+採用費管理表!N41</f>
        <v>3322142</v>
      </c>
      <c r="N8" s="11">
        <f>採用費管理表!O29+採用費管理表!O32+採用費管理表!O35+採用費管理表!O38+採用費管理表!O41</f>
        <v>5530990</v>
      </c>
      <c r="O8" s="36">
        <f t="shared" si="2"/>
        <v>31267043</v>
      </c>
      <c r="Q8" s="75" t="s">
        <v>68</v>
      </c>
      <c r="R8" s="84">
        <f>O8</f>
        <v>31267043</v>
      </c>
      <c r="S8" s="81">
        <v>31</v>
      </c>
      <c r="T8" s="82">
        <f>O8/S8</f>
        <v>1008614.2903225806</v>
      </c>
    </row>
    <row r="9" spans="1:20" ht="17.25" customHeight="1">
      <c r="A9" s="174" t="s">
        <v>27</v>
      </c>
      <c r="B9" s="30" t="s">
        <v>41</v>
      </c>
      <c r="C9" s="33">
        <f>SUM(採用費管理表!D42+採用費管理表!D45+採用費管理表!D48)</f>
        <v>0</v>
      </c>
      <c r="D9" s="33">
        <f>採用費管理表!E42+採用費管理表!E45+採用費管理表!E48</f>
        <v>0</v>
      </c>
      <c r="E9" s="33">
        <f>採用費管理表!F42+採用費管理表!F45+採用費管理表!F48</f>
        <v>0</v>
      </c>
      <c r="F9" s="33">
        <f>採用費管理表!G42+採用費管理表!G45+採用費管理表!G48</f>
        <v>0</v>
      </c>
      <c r="G9" s="33">
        <f>採用費管理表!H42+採用費管理表!H45+採用費管理表!H48</f>
        <v>0</v>
      </c>
      <c r="H9" s="33">
        <f>採用費管理表!I42+採用費管理表!I45+採用費管理表!I48</f>
        <v>0</v>
      </c>
      <c r="I9" s="33">
        <f>採用費管理表!J42+採用費管理表!J45+採用費管理表!J48</f>
        <v>0</v>
      </c>
      <c r="J9" s="33">
        <f>採用費管理表!K42+採用費管理表!K45+採用費管理表!K48</f>
        <v>0</v>
      </c>
      <c r="K9" s="33">
        <f>採用費管理表!L42+採用費管理表!L45+採用費管理表!L48</f>
        <v>0</v>
      </c>
      <c r="L9" s="33">
        <f>採用費管理表!M42+採用費管理表!M45+採用費管理表!M48</f>
        <v>0</v>
      </c>
      <c r="M9" s="33">
        <f>採用費管理表!N42+採用費管理表!N45+採用費管理表!N48</f>
        <v>0</v>
      </c>
      <c r="N9" s="33">
        <f>採用費管理表!O42+採用費管理表!O45+採用費管理表!O48</f>
        <v>0</v>
      </c>
      <c r="O9" s="34">
        <f t="shared" si="2"/>
        <v>0</v>
      </c>
      <c r="Q9" s="69" t="s">
        <v>92</v>
      </c>
      <c r="R9" s="110"/>
      <c r="S9" s="83"/>
      <c r="T9" s="112"/>
    </row>
    <row r="10" spans="1:20" ht="17.25" customHeight="1">
      <c r="A10" s="175"/>
      <c r="B10" s="28" t="s">
        <v>31</v>
      </c>
      <c r="C10" s="40">
        <f>採用費管理表!D43+採用費管理表!D46++採用費管理表!D49</f>
        <v>368500</v>
      </c>
      <c r="D10" s="40">
        <f>採用費管理表!E43+採用費管理表!E46+採用費管理表!E49</f>
        <v>50600</v>
      </c>
      <c r="E10" s="40">
        <f>SUM(採用費管理表!F43+採用費管理表!F46+採用費管理表!F49)</f>
        <v>968900</v>
      </c>
      <c r="F10" s="40">
        <f>SUM(採用費管理表!G43+採用費管理表!G46+採用費管理表!G49)</f>
        <v>1331500</v>
      </c>
      <c r="G10" s="40">
        <f>採用費管理表!H43+採用費管理表!H46+採用費管理表!H49</f>
        <v>2294900</v>
      </c>
      <c r="H10" s="40">
        <f>採用費管理表!I43+採用費管理表!I46+採用費管理表!I49</f>
        <v>1630200</v>
      </c>
      <c r="I10" s="40">
        <f>採用費管理表!J43+採用費管理表!J46+採用費管理表!J49</f>
        <v>1914000</v>
      </c>
      <c r="J10" s="40">
        <f>採用費管理表!K43+採用費管理表!K46+採用費管理表!K49</f>
        <v>308000</v>
      </c>
      <c r="K10" s="40">
        <f>採用費管理表!L43+採用費管理表!L46+採用費管理表!L49</f>
        <v>440000</v>
      </c>
      <c r="L10" s="40">
        <f>採用費管理表!M43+採用費管理表!M46+採用費管理表!M49</f>
        <v>776160</v>
      </c>
      <c r="M10" s="40">
        <f>採用費管理表!N43+採用費管理表!N46+採用費管理表!N49</f>
        <v>264000</v>
      </c>
      <c r="N10" s="40">
        <f>採用費管理表!O43+採用費管理表!O46</f>
        <v>176000</v>
      </c>
      <c r="O10" s="41">
        <f t="shared" si="2"/>
        <v>10522760</v>
      </c>
      <c r="Q10" s="75" t="s">
        <v>69</v>
      </c>
      <c r="R10" s="108">
        <v>2678830</v>
      </c>
      <c r="S10">
        <v>2</v>
      </c>
      <c r="T10" s="78">
        <f>R10/S10</f>
        <v>1339415</v>
      </c>
    </row>
    <row r="11" spans="1:20" ht="17.25" customHeight="1">
      <c r="A11" s="176"/>
      <c r="B11" s="35" t="s">
        <v>16</v>
      </c>
      <c r="C11" s="11">
        <f>採用費管理表!D44+採用費管理表!D47</f>
        <v>0</v>
      </c>
      <c r="D11" s="11">
        <f>採用費管理表!E44+採用費管理表!E47</f>
        <v>99000</v>
      </c>
      <c r="E11" s="11">
        <f>採用費管理表!F44+採用費管理表!F47</f>
        <v>154000</v>
      </c>
      <c r="F11" s="11">
        <f>採用費管理表!G44+採用費管理表!G47</f>
        <v>176000</v>
      </c>
      <c r="G11" s="11">
        <f>採用費管理表!H44+採用費管理表!H47</f>
        <v>149875</v>
      </c>
      <c r="H11" s="11">
        <f>採用費管理表!I44+採用費管理表!I47</f>
        <v>170500</v>
      </c>
      <c r="I11" s="11">
        <f>採用費管理表!J44+採用費管理表!J47</f>
        <v>302500</v>
      </c>
      <c r="J11" s="11">
        <f>採用費管理表!K44+採用費管理表!K47+採用費管理表!K50</f>
        <v>425519</v>
      </c>
      <c r="K11" s="11">
        <f>採用費管理表!L44+採用費管理表!L47+採用費管理表!L50</f>
        <v>2772550</v>
      </c>
      <c r="L11" s="11">
        <f>採用費管理表!M44+採用費管理表!M47+採用費管理表!M50</f>
        <v>514893</v>
      </c>
      <c r="M11" s="11">
        <f>採用費管理表!N44+採用費管理表!N47+採用費管理表!N50</f>
        <v>484000</v>
      </c>
      <c r="N11" s="11">
        <f>採用費管理表!O44+採用費管理表!O47+採用費管理表!O50</f>
        <v>0</v>
      </c>
      <c r="O11" s="36">
        <f t="shared" si="2"/>
        <v>5248837</v>
      </c>
      <c r="Q11" s="75" t="s">
        <v>70</v>
      </c>
      <c r="R11" s="84" t="s">
        <v>94</v>
      </c>
      <c r="S11" s="85" t="s">
        <v>94</v>
      </c>
      <c r="T11" s="86" t="s">
        <v>94</v>
      </c>
    </row>
    <row r="12" spans="1:20" ht="17.25" customHeight="1">
      <c r="A12" s="174" t="s">
        <v>47</v>
      </c>
      <c r="B12" s="30" t="s">
        <v>41</v>
      </c>
      <c r="C12" s="33">
        <f>SUM(採用費管理表!D51+採用費管理表!D54+採用費管理表!D57)</f>
        <v>0</v>
      </c>
      <c r="D12" s="33">
        <f>SUM(採用費管理表!E51+採用費管理表!E54+採用費管理表!E57)</f>
        <v>0</v>
      </c>
      <c r="E12" s="33">
        <f>SUM(採用費管理表!F51+採用費管理表!F54+採用費管理表!F57)</f>
        <v>0</v>
      </c>
      <c r="F12" s="33">
        <f>SUM(採用費管理表!G51+採用費管理表!G54+採用費管理表!G57)</f>
        <v>0</v>
      </c>
      <c r="G12" s="33">
        <f>SUM(採用費管理表!H51+採用費管理表!H54+採用費管理表!H57)</f>
        <v>0</v>
      </c>
      <c r="H12" s="33">
        <f>SUM(採用費管理表!I51+採用費管理表!I54+採用費管理表!I57)</f>
        <v>0</v>
      </c>
      <c r="I12" s="33">
        <f>SUM(採用費管理表!J51+採用費管理表!J54+採用費管理表!J57)</f>
        <v>0</v>
      </c>
      <c r="J12" s="33">
        <f>SUM(採用費管理表!K51+採用費管理表!K54+採用費管理表!K57)</f>
        <v>0</v>
      </c>
      <c r="K12" s="33">
        <f>SUM(採用費管理表!L51+採用費管理表!L54+採用費管理表!L57)</f>
        <v>0</v>
      </c>
      <c r="L12" s="33">
        <f>SUM(採用費管理表!M51+採用費管理表!M54+採用費管理表!M57)</f>
        <v>0</v>
      </c>
      <c r="M12" s="33">
        <f>SUM(採用費管理表!N51+採用費管理表!N54+採用費管理表!N57)</f>
        <v>0</v>
      </c>
      <c r="N12" s="33">
        <f>SUM(採用費管理表!O51+採用費管理表!O54+採用費管理表!O57)</f>
        <v>0</v>
      </c>
      <c r="O12" s="34">
        <f t="shared" ref="O12:O14" si="3">SUM(C12:N12)</f>
        <v>0</v>
      </c>
      <c r="Q12" s="69" t="s">
        <v>91</v>
      </c>
      <c r="R12" s="110"/>
      <c r="S12" s="83"/>
      <c r="T12" s="112"/>
    </row>
    <row r="13" spans="1:20" ht="17.25" customHeight="1">
      <c r="A13" s="175"/>
      <c r="B13" s="28" t="s">
        <v>31</v>
      </c>
      <c r="C13" s="40">
        <f>SUM(採用費管理表!D52+採用費管理表!D55+採用費管理表!D58)</f>
        <v>3000</v>
      </c>
      <c r="D13" s="40">
        <f>採用費管理表!E49+採用費管理表!E58</f>
        <v>0</v>
      </c>
      <c r="E13" s="40">
        <f>SUM(採用費管理表!F52+採用費管理表!F55+採用費管理表!F58)</f>
        <v>51220</v>
      </c>
      <c r="F13" s="40">
        <f>SUM(採用費管理表!G52+採用費管理表!G55+採用費管理表!G58)</f>
        <v>12865</v>
      </c>
      <c r="G13" s="40">
        <f>SUM(採用費管理表!H52+採用費管理表!H55+採用費管理表!H58)</f>
        <v>1572</v>
      </c>
      <c r="H13" s="40">
        <f>採用費管理表!I49+採用費管理表!I58</f>
        <v>0</v>
      </c>
      <c r="I13" s="40">
        <f>採用費管理表!J49+採用費管理表!J58</f>
        <v>0</v>
      </c>
      <c r="J13" s="40">
        <f>採用費管理表!K49+採用費管理表!K58</f>
        <v>0</v>
      </c>
      <c r="K13" s="40">
        <f>採用費管理表!L49+採用費管理表!L58</f>
        <v>0</v>
      </c>
      <c r="L13" s="40">
        <f>SUM(採用費管理表!M52+採用費管理表!M55+採用費管理表!M58)</f>
        <v>0</v>
      </c>
      <c r="M13" s="40">
        <f>SUM(採用費管理表!N52+採用費管理表!N55+採用費管理表!N58)</f>
        <v>68052</v>
      </c>
      <c r="N13" s="40">
        <f>SUM(採用費管理表!O52+採用費管理表!O55+採用費管理表!O58)</f>
        <v>0</v>
      </c>
      <c r="O13" s="41">
        <f t="shared" si="3"/>
        <v>136709</v>
      </c>
      <c r="Q13" s="75" t="s">
        <v>71</v>
      </c>
      <c r="R13" s="108" t="e">
        <f>#REF!</f>
        <v>#REF!</v>
      </c>
      <c r="S13">
        <v>353</v>
      </c>
      <c r="T13" s="109" t="e">
        <f>R13/S13</f>
        <v>#REF!</v>
      </c>
    </row>
    <row r="14" spans="1:20" ht="17.25" customHeight="1">
      <c r="A14" s="176"/>
      <c r="B14" s="35" t="s">
        <v>16</v>
      </c>
      <c r="C14" s="11">
        <f>SUM(採用費管理表!D53+採用費管理表!D56+採用費管理表!D59)</f>
        <v>0</v>
      </c>
      <c r="D14" s="11">
        <f>採用費管理表!E50+採用費管理表!E59</f>
        <v>0</v>
      </c>
      <c r="E14" s="11">
        <f>採用費管理表!F50+採用費管理表!F59</f>
        <v>0</v>
      </c>
      <c r="F14" s="11">
        <f>採用費管理表!G50+採用費管理表!G59</f>
        <v>0</v>
      </c>
      <c r="G14" s="11">
        <f>採用費管理表!H50+採用費管理表!H59</f>
        <v>0</v>
      </c>
      <c r="H14" s="11">
        <f>採用費管理表!I50+採用費管理表!I59</f>
        <v>0</v>
      </c>
      <c r="I14" s="11">
        <f>採用費管理表!J50+採用費管理表!J59</f>
        <v>0</v>
      </c>
      <c r="J14" s="11">
        <f>採用費管理表!K50+採用費管理表!K59</f>
        <v>164269</v>
      </c>
      <c r="K14" s="11">
        <f>採用費管理表!L50+採用費管理表!L59</f>
        <v>2750550</v>
      </c>
      <c r="L14" s="11">
        <f>採用費管理表!M50+採用費管理表!M59</f>
        <v>0</v>
      </c>
      <c r="M14" s="11">
        <f>採用費管理表!N50+採用費管理表!N59</f>
        <v>264000</v>
      </c>
      <c r="N14" s="11">
        <f>採用費管理表!O50+採用費管理表!O59</f>
        <v>0</v>
      </c>
      <c r="O14" s="36">
        <f t="shared" si="3"/>
        <v>3178819</v>
      </c>
      <c r="Q14" s="75" t="s">
        <v>72</v>
      </c>
      <c r="R14" s="113">
        <v>2070018</v>
      </c>
      <c r="S14" s="85">
        <v>69</v>
      </c>
      <c r="T14" s="114">
        <f>R14/S14</f>
        <v>30000.260869565216</v>
      </c>
    </row>
    <row r="15" spans="1:20" ht="17.25" customHeight="1">
      <c r="A15" s="174" t="s">
        <v>48</v>
      </c>
      <c r="B15" s="30" t="s">
        <v>41</v>
      </c>
      <c r="C15" s="33">
        <f>SUM(採用費管理表!D60+採用費管理表!D63)</f>
        <v>0</v>
      </c>
      <c r="D15" s="33">
        <f>SUM(採用費管理表!E60+採用費管理表!E63)</f>
        <v>0</v>
      </c>
      <c r="E15" s="33">
        <f>SUM(採用費管理表!F60+採用費管理表!F63)</f>
        <v>0</v>
      </c>
      <c r="F15" s="33">
        <f>SUM(採用費管理表!G60+採用費管理表!G63)</f>
        <v>0</v>
      </c>
      <c r="G15" s="33">
        <f>SUM(採用費管理表!H60+採用費管理表!H63)</f>
        <v>0</v>
      </c>
      <c r="H15" s="33">
        <f>SUM(採用費管理表!I60+採用費管理表!I63)</f>
        <v>0</v>
      </c>
      <c r="I15" s="33">
        <f>SUM(採用費管理表!J60+採用費管理表!J63)</f>
        <v>0</v>
      </c>
      <c r="J15" s="33">
        <f>SUM(採用費管理表!K60+採用費管理表!K63)</f>
        <v>0</v>
      </c>
      <c r="K15" s="33">
        <f>SUM(採用費管理表!L60+採用費管理表!L63)</f>
        <v>0</v>
      </c>
      <c r="L15" s="33">
        <f>SUM(採用費管理表!M60+採用費管理表!M63)</f>
        <v>0</v>
      </c>
      <c r="M15" s="33">
        <f>SUM(採用費管理表!N60+採用費管理表!N63)</f>
        <v>0</v>
      </c>
      <c r="N15" s="33">
        <f>SUM(採用費管理表!O60+採用費管理表!O63)</f>
        <v>0</v>
      </c>
      <c r="O15" s="34">
        <f t="shared" si="2"/>
        <v>0</v>
      </c>
      <c r="Q15" s="69" t="s">
        <v>91</v>
      </c>
      <c r="R15" s="110"/>
      <c r="S15" s="83"/>
      <c r="T15" s="112"/>
    </row>
    <row r="16" spans="1:20" ht="17.25" customHeight="1">
      <c r="A16" s="175"/>
      <c r="B16" s="28" t="s">
        <v>31</v>
      </c>
      <c r="C16" s="40">
        <f>SUM(採用費管理表!D61+採用費管理表!D64)</f>
        <v>0</v>
      </c>
      <c r="D16" s="40">
        <f>採用費管理表!E52+採用費管理表!E61</f>
        <v>222742</v>
      </c>
      <c r="E16" s="40">
        <f>SUM(採用費管理表!F61+採用費管理表!F64)</f>
        <v>0</v>
      </c>
      <c r="F16" s="40">
        <f>SUM(採用費管理表!G61+採用費管理表!G64)</f>
        <v>2215100</v>
      </c>
      <c r="G16" s="40">
        <f>SUM(採用費管理表!H61+採用費管理表!H64)</f>
        <v>0</v>
      </c>
      <c r="H16" s="40">
        <f>採用費管理表!I52+採用費管理表!I61</f>
        <v>167056</v>
      </c>
      <c r="I16" s="40">
        <f>採用費管理表!J52+採用費管理表!J61</f>
        <v>2540280</v>
      </c>
      <c r="J16" s="40">
        <f>採用費管理表!K52+採用費管理表!K61</f>
        <v>274900</v>
      </c>
      <c r="K16" s="40">
        <f>採用費管理表!L52+採用費管理表!L61</f>
        <v>4199380</v>
      </c>
      <c r="L16" s="40">
        <f>採用費管理表!M52+採用費管理表!M61</f>
        <v>124350</v>
      </c>
      <c r="M16" s="40">
        <f>採用費管理表!N52+採用費管理表!N61</f>
        <v>149100</v>
      </c>
      <c r="N16" s="40">
        <f>SUM(採用費管理表!O61+採用費管理表!O64)</f>
        <v>9684868</v>
      </c>
      <c r="O16" s="41">
        <f t="shared" si="2"/>
        <v>19577776</v>
      </c>
      <c r="Q16" s="75" t="s">
        <v>71</v>
      </c>
      <c r="R16" s="108" t="e">
        <f>#REF!</f>
        <v>#REF!</v>
      </c>
      <c r="S16">
        <v>353</v>
      </c>
      <c r="T16" s="109" t="e">
        <f>R16/S16</f>
        <v>#REF!</v>
      </c>
    </row>
    <row r="17" spans="1:20" ht="17.25" customHeight="1">
      <c r="A17" s="176"/>
      <c r="B17" s="35" t="s">
        <v>16</v>
      </c>
      <c r="C17" s="11">
        <f>SUM(採用費管理表!D62+採用費管理表!D65)</f>
        <v>0</v>
      </c>
      <c r="D17" s="11">
        <f>採用費管理表!E53+採用費管理表!E62</f>
        <v>0</v>
      </c>
      <c r="E17" s="11">
        <f>採用費管理表!F53+採用費管理表!F62</f>
        <v>0</v>
      </c>
      <c r="F17" s="11">
        <f>採用費管理表!G53+採用費管理表!G62</f>
        <v>0</v>
      </c>
      <c r="G17" s="11">
        <f>採用費管理表!H53+採用費管理表!H62</f>
        <v>0</v>
      </c>
      <c r="H17" s="11">
        <f>採用費管理表!I53+採用費管理表!I62</f>
        <v>0</v>
      </c>
      <c r="I17" s="11">
        <f>採用費管理表!J53+採用費管理表!J62</f>
        <v>0</v>
      </c>
      <c r="J17" s="11">
        <f>採用費管理表!K53+採用費管理表!K62</f>
        <v>0</v>
      </c>
      <c r="K17" s="11">
        <f>採用費管理表!L53+採用費管理表!L62</f>
        <v>0</v>
      </c>
      <c r="L17" s="11">
        <f>採用費管理表!M53+採用費管理表!M62</f>
        <v>0</v>
      </c>
      <c r="M17" s="11">
        <f>採用費管理表!N53+採用費管理表!N62</f>
        <v>0</v>
      </c>
      <c r="N17" s="11">
        <f>採用費管理表!O53+採用費管理表!O62</f>
        <v>0</v>
      </c>
      <c r="O17" s="36">
        <f t="shared" si="2"/>
        <v>0</v>
      </c>
      <c r="Q17" s="75" t="s">
        <v>72</v>
      </c>
      <c r="R17" s="113">
        <v>2070018</v>
      </c>
      <c r="S17" s="85">
        <v>69</v>
      </c>
      <c r="T17" s="114">
        <f>R17/S17</f>
        <v>30000.260869565216</v>
      </c>
    </row>
    <row r="18" spans="1:20" ht="17.25" customHeight="1">
      <c r="A18" s="174" t="s">
        <v>28</v>
      </c>
      <c r="B18" s="30" t="s">
        <v>41</v>
      </c>
      <c r="C18" s="33">
        <f>SUM(採用費管理表!D66+採用費管理表!D69+採用費管理表!D72+採用費管理表!D75+採用費管理表!D78+採用費管理表!D81)</f>
        <v>0</v>
      </c>
      <c r="D18" s="33">
        <f>SUM(採用費管理表!E66+採用費管理表!E69+採用費管理表!E72+採用費管理表!E75+採用費管理表!E78+採用費管理表!E81)</f>
        <v>0</v>
      </c>
      <c r="E18" s="33">
        <f>採用費管理表!F69+採用費管理表!F72+採用費管理表!F75+採用費管理表!F78+採用費管理表!F81</f>
        <v>0</v>
      </c>
      <c r="F18" s="33">
        <f>採用費管理表!G69+採用費管理表!G72+採用費管理表!G75+採用費管理表!G78+採用費管理表!G81</f>
        <v>0</v>
      </c>
      <c r="G18" s="33">
        <f>採用費管理表!H69+採用費管理表!H72+採用費管理表!H75+採用費管理表!H78+採用費管理表!H81</f>
        <v>0</v>
      </c>
      <c r="H18" s="33">
        <f>採用費管理表!I69+採用費管理表!I72+採用費管理表!I75+採用費管理表!I78+採用費管理表!I81</f>
        <v>0</v>
      </c>
      <c r="I18" s="33">
        <f>採用費管理表!J69+採用費管理表!J72+採用費管理表!J75+採用費管理表!J78+採用費管理表!J81</f>
        <v>0</v>
      </c>
      <c r="J18" s="33">
        <f>採用費管理表!K69+採用費管理表!K72+採用費管理表!K75+採用費管理表!K78+採用費管理表!K81</f>
        <v>0</v>
      </c>
      <c r="K18" s="33">
        <f>採用費管理表!L69+採用費管理表!L72+採用費管理表!L75+採用費管理表!L78+採用費管理表!L81</f>
        <v>0</v>
      </c>
      <c r="L18" s="33">
        <f>採用費管理表!M69+採用費管理表!M72+採用費管理表!M75+採用費管理表!M78+採用費管理表!M81</f>
        <v>0</v>
      </c>
      <c r="M18" s="33">
        <f>採用費管理表!N69+採用費管理表!N72+採用費管理表!N75+採用費管理表!N78+採用費管理表!N81</f>
        <v>0</v>
      </c>
      <c r="N18" s="33">
        <f>採用費管理表!O69+採用費管理表!O72+採用費管理表!O75+採用費管理表!O78+採用費管理表!O81</f>
        <v>0</v>
      </c>
      <c r="O18" s="34">
        <f t="shared" si="2"/>
        <v>0</v>
      </c>
      <c r="Q18" s="69" t="s">
        <v>90</v>
      </c>
      <c r="R18" s="110"/>
      <c r="S18" s="83"/>
      <c r="T18" s="112"/>
    </row>
    <row r="19" spans="1:20" ht="17.25" customHeight="1">
      <c r="A19" s="175"/>
      <c r="B19" s="28" t="s">
        <v>31</v>
      </c>
      <c r="C19" s="40">
        <f>採用費管理表!D67+採用費管理表!D70+採用費管理表!D73+採用費管理表!D76+採用費管理表!D79+採用費管理表!D82</f>
        <v>177100</v>
      </c>
      <c r="D19" s="40">
        <f>採用費管理表!E67+採用費管理表!E70+採用費管理表!E73+採用費管理表!E76+採用費管理表!E79+採用費管理表!E82</f>
        <v>350900</v>
      </c>
      <c r="E19" s="40">
        <f>SUM(採用費管理表!F67+採用費管理表!F70+採用費管理表!F73+採用費管理表!F76+採用費管理表!F79+採用費管理表!F82)</f>
        <v>1237028</v>
      </c>
      <c r="F19" s="40">
        <f>採用費管理表!G67+採用費管理表!G70+採用費管理表!G73+採用費管理表!G76+採用費管理表!G79+採用費管理表!G82</f>
        <v>263082</v>
      </c>
      <c r="G19" s="40">
        <f>採用費管理表!H67+採用費管理表!H70+採用費管理表!H73+採用費管理表!H76+採用費管理表!H79+採用費管理表!H82</f>
        <v>773568</v>
      </c>
      <c r="H19" s="40">
        <f>採用費管理表!I67+採用費管理表!I70+採用費管理表!I73+採用費管理表!I76+採用費管理表!I79+採用費管理表!I82</f>
        <v>1404288</v>
      </c>
      <c r="I19" s="40">
        <f>採用費管理表!J67+採用費管理表!J70+採用費管理表!J73+採用費管理表!J76+採用費管理表!J79+採用費管理表!J82</f>
        <v>6734773</v>
      </c>
      <c r="J19" s="40">
        <f>採用費管理表!K67+採用費管理表!K70+採用費管理表!K73+採用費管理表!K76+採用費管理表!K79+採用費管理表!K82</f>
        <v>996327</v>
      </c>
      <c r="K19" s="40">
        <f>採用費管理表!L67+採用費管理表!L70+採用費管理表!L73+採用費管理表!L76+採用費管理表!L79+採用費管理表!L82</f>
        <v>195773</v>
      </c>
      <c r="L19" s="40">
        <f>採用費管理表!M67+採用費管理表!M70+採用費管理表!M73+採用費管理表!M76+採用費管理表!M79+採用費管理表!M82</f>
        <v>2981120</v>
      </c>
      <c r="M19" s="40">
        <f>採用費管理表!N67+採用費管理表!N70+採用費管理表!N73+採用費管理表!N76+採用費管理表!N79+採用費管理表!N82</f>
        <v>2893000</v>
      </c>
      <c r="N19" s="40">
        <f>採用費管理表!O67+採用費管理表!O70+採用費管理表!O73+採用費管理表!O76+採用費管理表!O79+採用費管理表!O82</f>
        <v>573650</v>
      </c>
      <c r="O19" s="41">
        <f t="shared" si="2"/>
        <v>18580609</v>
      </c>
      <c r="Q19" s="75" t="s">
        <v>73</v>
      </c>
      <c r="R19" s="111">
        <v>542437</v>
      </c>
      <c r="S19">
        <v>10</v>
      </c>
      <c r="T19" s="78">
        <f>R19/S19</f>
        <v>54243.7</v>
      </c>
    </row>
    <row r="20" spans="1:20" ht="17.25" customHeight="1">
      <c r="A20" s="175"/>
      <c r="B20" s="35" t="s">
        <v>16</v>
      </c>
      <c r="C20" s="11">
        <f>採用費管理表!D68+採用費管理表!D71+採用費管理表!D74+採用費管理表!D77+採用費管理表!D80+採用費管理表!D83</f>
        <v>255099</v>
      </c>
      <c r="D20" s="11">
        <f>採用費管理表!E68+採用費管理表!E71+採用費管理表!E74+採用費管理表!E77+採用費管理表!E80+採用費管理表!E83</f>
        <v>240350</v>
      </c>
      <c r="E20" s="11">
        <f>採用費管理表!F68+採用費管理表!F71+採用費管理表!F74+採用費管理表!F77+採用費管理表!F80+採用費管理表!F83</f>
        <v>125950</v>
      </c>
      <c r="F20" s="11">
        <f>採用費管理表!G68+採用費管理表!G71+採用費管理表!G74+採用費管理表!G77+採用費管理表!G80+採用費管理表!G83</f>
        <v>134750</v>
      </c>
      <c r="G20" s="11">
        <f>採用費管理表!H68+採用費管理表!H71+採用費管理表!H74+採用費管理表!H77+採用費管理表!H80+採用費管理表!H83</f>
        <v>119401</v>
      </c>
      <c r="H20" s="11">
        <f>採用費管理表!I68+採用費管理表!I71+採用費管理表!I74+採用費管理表!I77+採用費管理表!I80+採用費管理表!I83</f>
        <v>288600</v>
      </c>
      <c r="I20" s="11">
        <f>採用費管理表!J68+採用費管理表!J71+採用費管理表!J74+採用費管理表!J77+採用費管理表!J80+採用費管理表!J83</f>
        <v>229900</v>
      </c>
      <c r="J20" s="11">
        <f>採用費管理表!K68+採用費管理表!K71+採用費管理表!K74+採用費管理表!K77+採用費管理表!K80+採用費管理表!K83</f>
        <v>27500</v>
      </c>
      <c r="K20" s="11">
        <f>採用費管理表!L68+採用費管理表!L71+採用費管理表!L74+採用費管理表!L77+採用費管理表!L80+採用費管理表!L83</f>
        <v>211257</v>
      </c>
      <c r="L20" s="11">
        <f>採用費管理表!M68+採用費管理表!M71+採用費管理表!M74+採用費管理表!M77+採用費管理表!M80+採用費管理表!M83</f>
        <v>857587</v>
      </c>
      <c r="M20" s="11">
        <f>採用費管理表!N68+採用費管理表!N71+採用費管理表!N74+採用費管理表!N77+採用費管理表!N80+採用費管理表!N83</f>
        <v>19355</v>
      </c>
      <c r="N20" s="11">
        <f>採用費管理表!O68+採用費管理表!O71+採用費管理表!O74+採用費管理表!O77+採用費管理表!O80+採用費管理表!O83</f>
        <v>8571200</v>
      </c>
      <c r="O20" s="36">
        <f t="shared" si="1"/>
        <v>11080949</v>
      </c>
      <c r="Q20" s="75" t="s">
        <v>74</v>
      </c>
      <c r="R20" s="84" t="s">
        <v>94</v>
      </c>
      <c r="S20" s="85" t="s">
        <v>94</v>
      </c>
      <c r="T20" s="86" t="s">
        <v>94</v>
      </c>
    </row>
    <row r="21" spans="1:20" ht="20.25" customHeight="1">
      <c r="A21" s="172" t="s">
        <v>40</v>
      </c>
      <c r="B21" s="173"/>
      <c r="C21" s="31">
        <f t="shared" ref="C21:N21" si="4">C3+C6+C9+C15+C18+C12</f>
        <v>0</v>
      </c>
      <c r="D21" s="31">
        <f t="shared" si="4"/>
        <v>0</v>
      </c>
      <c r="E21" s="31">
        <f t="shared" si="4"/>
        <v>0</v>
      </c>
      <c r="F21" s="31">
        <f t="shared" si="4"/>
        <v>0</v>
      </c>
      <c r="G21" s="31">
        <f t="shared" si="4"/>
        <v>0</v>
      </c>
      <c r="H21" s="31">
        <f t="shared" si="4"/>
        <v>0</v>
      </c>
      <c r="I21" s="31">
        <f t="shared" si="4"/>
        <v>0</v>
      </c>
      <c r="J21" s="31">
        <f t="shared" si="4"/>
        <v>0</v>
      </c>
      <c r="K21" s="31">
        <f t="shared" si="4"/>
        <v>0</v>
      </c>
      <c r="L21" s="31">
        <f t="shared" si="4"/>
        <v>0</v>
      </c>
      <c r="M21" s="31">
        <f t="shared" si="4"/>
        <v>0</v>
      </c>
      <c r="N21" s="31">
        <f t="shared" si="4"/>
        <v>0</v>
      </c>
      <c r="O21" s="32">
        <f>SUM(C21:N21)</f>
        <v>0</v>
      </c>
      <c r="Q21" s="69" t="s">
        <v>89</v>
      </c>
      <c r="R21" s="110"/>
      <c r="S21" s="83"/>
      <c r="T21" s="112"/>
    </row>
    <row r="22" spans="1:20" ht="20.25" customHeight="1">
      <c r="A22" s="169" t="s">
        <v>32</v>
      </c>
      <c r="B22" s="169"/>
      <c r="C22" s="38">
        <f>SUM(C4+C7+C10+C13+C16+C19)</f>
        <v>5101457</v>
      </c>
      <c r="D22" s="38">
        <f t="shared" ref="D22:N22" si="5">SUM(D4+D7+D10+D13+D16+D19)</f>
        <v>4310561</v>
      </c>
      <c r="E22" s="38">
        <f t="shared" si="5"/>
        <v>5868220</v>
      </c>
      <c r="F22" s="38">
        <f t="shared" si="5"/>
        <v>6537137</v>
      </c>
      <c r="G22" s="38">
        <f t="shared" si="5"/>
        <v>12776923</v>
      </c>
      <c r="H22" s="38">
        <f t="shared" si="5"/>
        <v>11954981</v>
      </c>
      <c r="I22" s="38">
        <f t="shared" si="5"/>
        <v>22013662</v>
      </c>
      <c r="J22" s="38">
        <f t="shared" si="5"/>
        <v>11510629</v>
      </c>
      <c r="K22" s="38">
        <f t="shared" si="5"/>
        <v>13094164</v>
      </c>
      <c r="L22" s="38">
        <f t="shared" si="5"/>
        <v>7470334</v>
      </c>
      <c r="M22" s="38">
        <f t="shared" si="5"/>
        <v>10056326</v>
      </c>
      <c r="N22" s="38">
        <f t="shared" si="5"/>
        <v>12359452</v>
      </c>
      <c r="O22" s="39">
        <v>123062386</v>
      </c>
      <c r="Q22" s="75" t="s">
        <v>75</v>
      </c>
      <c r="R22" s="108">
        <v>19470414</v>
      </c>
      <c r="S22">
        <v>45</v>
      </c>
      <c r="T22" s="78">
        <f>R22/S22</f>
        <v>432675.86666666664</v>
      </c>
    </row>
    <row r="23" spans="1:20" ht="20.25" customHeight="1">
      <c r="A23" s="168" t="s">
        <v>18</v>
      </c>
      <c r="B23" s="168"/>
      <c r="C23" s="37">
        <f t="shared" ref="C23:N23" si="6">C5+C8+C11+C17+C20</f>
        <v>1087548</v>
      </c>
      <c r="D23" s="37">
        <f t="shared" si="6"/>
        <v>5870780</v>
      </c>
      <c r="E23" s="37">
        <f t="shared" si="6"/>
        <v>711201</v>
      </c>
      <c r="F23" s="37">
        <f t="shared" si="6"/>
        <v>5307201</v>
      </c>
      <c r="G23" s="37">
        <f t="shared" si="6"/>
        <v>6394453</v>
      </c>
      <c r="H23" s="37">
        <f t="shared" si="6"/>
        <v>1362916</v>
      </c>
      <c r="I23" s="37">
        <f t="shared" si="6"/>
        <v>4861755</v>
      </c>
      <c r="J23" s="37">
        <f t="shared" si="6"/>
        <v>2784167</v>
      </c>
      <c r="K23" s="37">
        <f t="shared" si="6"/>
        <v>4840140</v>
      </c>
      <c r="L23" s="37">
        <f t="shared" si="6"/>
        <v>1681027</v>
      </c>
      <c r="M23" s="37">
        <f t="shared" si="6"/>
        <v>3856241</v>
      </c>
      <c r="N23" s="37">
        <f t="shared" si="6"/>
        <v>14305045</v>
      </c>
      <c r="O23" s="37">
        <f>SUM(C23:N23)</f>
        <v>53062474</v>
      </c>
      <c r="Q23" s="79" t="s">
        <v>76</v>
      </c>
      <c r="R23" s="84" t="s">
        <v>94</v>
      </c>
      <c r="S23" s="85" t="s">
        <v>94</v>
      </c>
      <c r="T23" s="86" t="s">
        <v>94</v>
      </c>
    </row>
    <row r="24" spans="1:20" ht="19.95" customHeight="1">
      <c r="A24" s="168" t="s">
        <v>97</v>
      </c>
      <c r="B24" s="168"/>
      <c r="C24" s="32">
        <v>6500000</v>
      </c>
      <c r="D24" s="32">
        <v>6500000</v>
      </c>
      <c r="E24" s="32">
        <v>6500000</v>
      </c>
      <c r="F24" s="32">
        <v>6500000</v>
      </c>
      <c r="G24" s="32">
        <v>6500000</v>
      </c>
      <c r="H24" s="32">
        <v>6500000</v>
      </c>
      <c r="I24" s="32">
        <v>6500000</v>
      </c>
      <c r="J24" s="32">
        <v>6500000</v>
      </c>
      <c r="K24" s="32">
        <v>6500000</v>
      </c>
      <c r="L24" s="32">
        <v>6500000</v>
      </c>
      <c r="M24" s="32">
        <v>6500000</v>
      </c>
      <c r="N24" s="32">
        <v>6500000</v>
      </c>
      <c r="O24" s="32">
        <f>SUM(C24:N24)</f>
        <v>78000000</v>
      </c>
      <c r="Q24" s="69" t="s">
        <v>88</v>
      </c>
      <c r="R24" s="110"/>
      <c r="S24" s="83"/>
      <c r="T24" s="112"/>
    </row>
    <row r="25" spans="1:20" ht="19.95" customHeight="1">
      <c r="A25" s="168" t="s">
        <v>98</v>
      </c>
      <c r="B25" s="168"/>
      <c r="C25" s="116">
        <f>C21/C24</f>
        <v>0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Q25" s="75" t="s">
        <v>77</v>
      </c>
      <c r="R25" s="111">
        <f>409500*8+776160</f>
        <v>4052160</v>
      </c>
      <c r="S25">
        <v>9</v>
      </c>
      <c r="T25" s="78">
        <f>R25/S25</f>
        <v>450240</v>
      </c>
    </row>
    <row r="26" spans="1:20" ht="19.95" customHeight="1">
      <c r="Q26" s="79" t="s">
        <v>78</v>
      </c>
      <c r="R26" s="113">
        <v>3178819</v>
      </c>
      <c r="S26" s="85">
        <v>8</v>
      </c>
      <c r="T26" s="82">
        <f>R26/S26</f>
        <v>397352.375</v>
      </c>
    </row>
    <row r="34" spans="3:7">
      <c r="C34" s="15"/>
      <c r="D34" s="15" t="s">
        <v>16</v>
      </c>
      <c r="E34" s="15" t="s">
        <v>31</v>
      </c>
      <c r="F34" s="15" t="s">
        <v>41</v>
      </c>
      <c r="G34" s="15" t="s">
        <v>33</v>
      </c>
    </row>
    <row r="35" spans="3:7">
      <c r="C35" s="15" t="s">
        <v>25</v>
      </c>
      <c r="D35" s="16">
        <f>O5</f>
        <v>5465645</v>
      </c>
      <c r="E35" s="16">
        <f>O4</f>
        <v>14946233</v>
      </c>
      <c r="F35" s="16">
        <f>O3</f>
        <v>0</v>
      </c>
      <c r="G35" s="17">
        <f>F35/E35</f>
        <v>0</v>
      </c>
    </row>
    <row r="36" spans="3:7">
      <c r="C36" s="15" t="s">
        <v>26</v>
      </c>
      <c r="D36" s="16">
        <f>O8</f>
        <v>31267043</v>
      </c>
      <c r="E36" s="16">
        <f>O7</f>
        <v>59289759</v>
      </c>
      <c r="F36" s="16">
        <f>O6</f>
        <v>0</v>
      </c>
      <c r="G36" s="17">
        <f t="shared" ref="G36:G41" si="7">F36/E36</f>
        <v>0</v>
      </c>
    </row>
    <row r="37" spans="3:7">
      <c r="C37" s="15" t="s">
        <v>27</v>
      </c>
      <c r="D37" s="16">
        <f>O11</f>
        <v>5248837</v>
      </c>
      <c r="E37" s="16">
        <f>O10</f>
        <v>10522760</v>
      </c>
      <c r="F37" s="16">
        <f>O9</f>
        <v>0</v>
      </c>
      <c r="G37" s="17">
        <f t="shared" si="7"/>
        <v>0</v>
      </c>
    </row>
    <row r="38" spans="3:7">
      <c r="C38" s="15" t="s">
        <v>47</v>
      </c>
      <c r="D38" s="16">
        <f>O14</f>
        <v>3178819</v>
      </c>
      <c r="E38" s="16">
        <f>O13</f>
        <v>136709</v>
      </c>
      <c r="F38" s="16">
        <f>O12</f>
        <v>0</v>
      </c>
      <c r="G38" s="17">
        <f t="shared" si="7"/>
        <v>0</v>
      </c>
    </row>
    <row r="39" spans="3:7">
      <c r="C39" s="15" t="s">
        <v>95</v>
      </c>
      <c r="D39" s="16">
        <f>O17</f>
        <v>0</v>
      </c>
      <c r="E39" s="16">
        <f>O16</f>
        <v>19577776</v>
      </c>
      <c r="F39" s="16">
        <f>O15</f>
        <v>0</v>
      </c>
      <c r="G39" s="17">
        <f t="shared" si="7"/>
        <v>0</v>
      </c>
    </row>
    <row r="40" spans="3:7">
      <c r="C40" s="15" t="s">
        <v>28</v>
      </c>
      <c r="D40" s="16">
        <f>O20</f>
        <v>11080949</v>
      </c>
      <c r="E40" s="16">
        <f>O19</f>
        <v>18580609</v>
      </c>
      <c r="F40" s="16">
        <f>O18</f>
        <v>0</v>
      </c>
      <c r="G40" s="17">
        <f t="shared" si="7"/>
        <v>0</v>
      </c>
    </row>
    <row r="41" spans="3:7">
      <c r="C41" s="18" t="s">
        <v>34</v>
      </c>
      <c r="D41" s="16">
        <f>O23</f>
        <v>53062474</v>
      </c>
      <c r="E41" s="16">
        <f>O22</f>
        <v>123062386</v>
      </c>
      <c r="F41" s="16">
        <f>O21</f>
        <v>0</v>
      </c>
      <c r="G41" s="17">
        <f t="shared" si="7"/>
        <v>0</v>
      </c>
    </row>
    <row r="63" spans="3:4">
      <c r="D63" s="19" t="s">
        <v>35</v>
      </c>
    </row>
    <row r="64" spans="3:4">
      <c r="C64" s="20" t="s">
        <v>36</v>
      </c>
      <c r="D64" s="21" t="s">
        <v>96</v>
      </c>
    </row>
    <row r="65" spans="3:7">
      <c r="C65" s="15"/>
      <c r="D65" s="15" t="s">
        <v>16</v>
      </c>
      <c r="E65" s="15" t="s">
        <v>31</v>
      </c>
      <c r="F65" s="15" t="s">
        <v>41</v>
      </c>
      <c r="G65" s="15" t="s">
        <v>33</v>
      </c>
    </row>
    <row r="66" spans="3:7">
      <c r="C66" s="15" t="s">
        <v>25</v>
      </c>
      <c r="D66" s="16">
        <f>INDEX($C$3:$N$20,3,MATCH($D$64,$C$2:$N$2,0))</f>
        <v>811017</v>
      </c>
      <c r="E66" s="16">
        <f>INDEX($C$3:$N$20,2,MATCH($D$64,$C$2:$N$2,0))</f>
        <v>485961</v>
      </c>
      <c r="F66" s="16">
        <f>INDEX($C$3:$N$20,1,MATCH($D$64,$C$2:$N$2,0))</f>
        <v>0</v>
      </c>
      <c r="G66" s="17">
        <f>F66/E66</f>
        <v>0</v>
      </c>
    </row>
    <row r="67" spans="3:7">
      <c r="C67" s="15" t="s">
        <v>26</v>
      </c>
      <c r="D67" s="16">
        <f>INDEX($C$3:$N$20,6,MATCH($D$64,$C$2:$N$2,0))</f>
        <v>21432</v>
      </c>
      <c r="E67" s="16">
        <f>INDEX($C$3:$N$20,5,MATCH($D$64,$C$2:$N$2,0))</f>
        <v>4066896</v>
      </c>
      <c r="F67" s="16">
        <f>INDEX($C$3:$N$20,4,MATCH($D$64,$C$2:$N$2,0))</f>
        <v>0</v>
      </c>
      <c r="G67" s="17">
        <f t="shared" ref="G67:G72" si="8">F67/E67</f>
        <v>0</v>
      </c>
    </row>
    <row r="68" spans="3:7">
      <c r="C68" s="15" t="s">
        <v>27</v>
      </c>
      <c r="D68" s="16">
        <f>INDEX($C$3:$N$20,9,MATCH($D$64,$C$2:$N$2,0))</f>
        <v>0</v>
      </c>
      <c r="E68" s="16">
        <f>INDEX($C$3:$N$20,8,MATCH($D$64,$C$2:$N$2,0))</f>
        <v>368500</v>
      </c>
      <c r="F68" s="16">
        <f>INDEX($C$3:$N$20,7,MATCH($D$64,$C$2:$N$2,0))</f>
        <v>0</v>
      </c>
      <c r="G68" s="17">
        <f t="shared" si="8"/>
        <v>0</v>
      </c>
    </row>
    <row r="69" spans="3:7">
      <c r="C69" s="15" t="s">
        <v>47</v>
      </c>
      <c r="D69" s="16">
        <f>INDEX($C$3:$N$20,12,MATCH($D$64,$C$2:$N$2,0))</f>
        <v>0</v>
      </c>
      <c r="E69" s="16">
        <f>INDEX($C$3:$N$20,11,MATCH($D$64,$C$2:$N$2,0))</f>
        <v>3000</v>
      </c>
      <c r="F69" s="16">
        <f>INDEX($C$3:$N$20,10,MATCH($D$64,$C$2:$N$2,0))</f>
        <v>0</v>
      </c>
      <c r="G69" s="17"/>
    </row>
    <row r="70" spans="3:7">
      <c r="C70" s="15" t="s">
        <v>48</v>
      </c>
      <c r="D70" s="16">
        <f>INDEX($C$3:$N$20,15,MATCH($D$64,$C$2:$N$2,0))</f>
        <v>0</v>
      </c>
      <c r="E70" s="16">
        <f>INDEX($C$3:$N$20,14,MATCH($D$64,$C$2:$N$2,0))</f>
        <v>0</v>
      </c>
      <c r="F70" s="16">
        <f>INDEX($C$3:$N$20,13,MATCH($D$64,$C$2:$N$2,0))</f>
        <v>0</v>
      </c>
      <c r="G70" s="17" t="e">
        <f>F70/E70</f>
        <v>#DIV/0!</v>
      </c>
    </row>
    <row r="71" spans="3:7">
      <c r="C71" s="15" t="s">
        <v>28</v>
      </c>
      <c r="D71" s="16">
        <f>INDEX($C$3:$N$20,18,MATCH($D$64,$C$2:$N$2,0))</f>
        <v>255099</v>
      </c>
      <c r="E71" s="16">
        <f>INDEX($C$3:$N$20,17,MATCH($D$64,$C$2:$N$2,0))</f>
        <v>177100</v>
      </c>
      <c r="F71" s="16">
        <f>INDEX($C$3:$N$20,16,MATCH($D$64,$C$2:$N$2,0))</f>
        <v>0</v>
      </c>
      <c r="G71" s="17">
        <f t="shared" si="8"/>
        <v>0</v>
      </c>
    </row>
    <row r="72" spans="3:7">
      <c r="C72" s="18" t="s">
        <v>34</v>
      </c>
      <c r="D72" s="16">
        <f>SUM(D66:D71)</f>
        <v>1087548</v>
      </c>
      <c r="E72" s="16">
        <f>SUM(E66:E71)</f>
        <v>5101457</v>
      </c>
      <c r="F72" s="16">
        <f>SUM(F66:F71)</f>
        <v>0</v>
      </c>
      <c r="G72" s="17">
        <f t="shared" si="8"/>
        <v>0</v>
      </c>
    </row>
  </sheetData>
  <mergeCells count="12">
    <mergeCell ref="A25:B25"/>
    <mergeCell ref="A22:B22"/>
    <mergeCell ref="A23:B23"/>
    <mergeCell ref="A1:O1"/>
    <mergeCell ref="A21:B21"/>
    <mergeCell ref="A3:A5"/>
    <mergeCell ref="A6:A8"/>
    <mergeCell ref="A9:A11"/>
    <mergeCell ref="A15:A17"/>
    <mergeCell ref="A18:A20"/>
    <mergeCell ref="A12:A14"/>
    <mergeCell ref="A24:B24"/>
  </mergeCells>
  <phoneticPr fontId="1"/>
  <dataValidations count="2">
    <dataValidation type="list" allowBlank="1" showInputMessage="1" showErrorMessage="1" sqref="D64" xr:uid="{E7242E91-C32D-482E-9811-491CC962CAF6}">
      <formula1>"4月,5月,6月,7月,8月,9月,10月,11月,12月,1月,2月,3月"</formula1>
    </dataValidation>
    <dataValidation type="custom" allowBlank="1" showInputMessage="1" showErrorMessage="1" sqref="C3:O20" xr:uid="{79167FED-DEF9-41AC-842E-42B4D7AC7CEA}">
      <formula1>ROUND(C3,10)-ROUNDDOWN(C3,0)=0</formula1>
    </dataValidation>
  </dataValidations>
  <pageMargins left="0.59055118110236227" right="0.59055118110236227" top="0.39370078740157483" bottom="0.3937007874015748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009F7-4792-4D14-9E7B-47790FE66902}">
  <sheetPr codeName="Sheet3" filterMode="1">
    <tabColor rgb="FFFFFF00"/>
  </sheetPr>
  <dimension ref="A1:BI328"/>
  <sheetViews>
    <sheetView tabSelected="1" zoomScale="85" zoomScaleNormal="85" workbookViewId="0">
      <pane ySplit="8" topLeftCell="A9" activePane="bottomLeft" state="frozen"/>
      <selection pane="bottomLeft" activeCell="A9" sqref="A9"/>
    </sheetView>
  </sheetViews>
  <sheetFormatPr defaultRowHeight="13.2"/>
  <cols>
    <col min="1" max="1" width="17.88671875" style="88" bestFit="1" customWidth="1"/>
    <col min="2" max="2" width="15.6640625" style="87" bestFit="1" customWidth="1"/>
    <col min="3" max="3" width="12.21875" style="22" customWidth="1"/>
    <col min="4" max="4" width="16.88671875" style="22" customWidth="1"/>
    <col min="5" max="5" width="130.77734375" style="22" customWidth="1"/>
    <col min="6" max="6" width="12.109375" style="89" bestFit="1" customWidth="1"/>
    <col min="7" max="7" width="42.44140625" bestFit="1" customWidth="1"/>
    <col min="58" max="16384" width="8.88671875" style="119"/>
  </cols>
  <sheetData>
    <row r="1" spans="1:61" s="118" customFormat="1" ht="30.6" thickBot="1">
      <c r="A1" s="177" t="s">
        <v>84</v>
      </c>
      <c r="B1" s="177"/>
      <c r="C1" s="122"/>
      <c r="D1" s="122"/>
      <c r="E1" s="137" t="s">
        <v>113</v>
      </c>
      <c r="F1" s="123"/>
      <c r="G1" s="124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 s="117"/>
      <c r="BG1" s="117"/>
      <c r="BH1" s="117"/>
      <c r="BI1" s="117"/>
    </row>
    <row r="2" spans="1:61" s="118" customFormat="1" ht="31.2" thickTop="1" thickBot="1">
      <c r="A2" s="138" t="s">
        <v>100</v>
      </c>
      <c r="B2" s="126"/>
      <c r="C2" s="122"/>
      <c r="D2" s="122"/>
      <c r="E2" s="121" t="s">
        <v>114</v>
      </c>
      <c r="F2" s="123"/>
      <c r="G2" s="127" t="s">
        <v>110</v>
      </c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 s="117"/>
      <c r="BG2" s="117"/>
      <c r="BH2" s="117"/>
      <c r="BI2" s="117"/>
    </row>
    <row r="3" spans="1:61" s="118" customFormat="1" ht="16.2" thickTop="1" thickBot="1">
      <c r="A3" s="125" t="s">
        <v>101</v>
      </c>
      <c r="B3" s="126"/>
      <c r="C3" s="122"/>
      <c r="D3" s="122"/>
      <c r="E3" s="128"/>
      <c r="F3" s="123"/>
      <c r="G3" s="127" t="s">
        <v>109</v>
      </c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 s="117"/>
      <c r="BG3" s="117"/>
      <c r="BH3" s="117"/>
      <c r="BI3" s="117"/>
    </row>
    <row r="4" spans="1:61" s="118" customFormat="1" ht="15.6" thickTop="1">
      <c r="A4" s="129" t="s">
        <v>111</v>
      </c>
      <c r="B4" s="126"/>
      <c r="C4" s="122"/>
      <c r="D4" s="122"/>
      <c r="E4" s="122"/>
      <c r="F4" s="123"/>
      <c r="G4" s="12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 s="117"/>
      <c r="BG4" s="117"/>
      <c r="BH4" s="117"/>
      <c r="BI4" s="117"/>
    </row>
    <row r="5" spans="1:61" s="118" customFormat="1" ht="15">
      <c r="A5" s="130" t="s">
        <v>102</v>
      </c>
      <c r="B5" s="126"/>
      <c r="C5" s="122"/>
      <c r="D5" s="122"/>
      <c r="E5" s="122"/>
      <c r="F5" s="123"/>
      <c r="G5" s="124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 s="117"/>
      <c r="BG5" s="117"/>
      <c r="BH5" s="117"/>
      <c r="BI5" s="117"/>
    </row>
    <row r="6" spans="1:61" s="118" customFormat="1" ht="15">
      <c r="A6" s="125" t="s">
        <v>103</v>
      </c>
      <c r="B6" s="126"/>
      <c r="C6" s="122"/>
      <c r="D6" s="122"/>
      <c r="E6" s="122"/>
      <c r="F6" s="123"/>
      <c r="G6" s="124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 s="117"/>
      <c r="BG6" s="117"/>
      <c r="BH6" s="117"/>
      <c r="BI6" s="117"/>
    </row>
    <row r="7" spans="1:61" s="118" customFormat="1" ht="15">
      <c r="A7" s="129" t="s">
        <v>104</v>
      </c>
      <c r="B7" s="131" t="s">
        <v>106</v>
      </c>
      <c r="C7" s="132" t="s">
        <v>108</v>
      </c>
      <c r="D7" s="131" t="s">
        <v>107</v>
      </c>
      <c r="E7" s="129" t="s">
        <v>105</v>
      </c>
      <c r="F7" s="129" t="s">
        <v>105</v>
      </c>
      <c r="G7" s="133" t="s">
        <v>105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 s="117"/>
      <c r="BG7" s="117"/>
      <c r="BH7" s="117"/>
      <c r="BI7" s="117"/>
    </row>
    <row r="8" spans="1:61" s="118" customFormat="1" ht="15">
      <c r="A8" s="134" t="s">
        <v>112</v>
      </c>
      <c r="B8" s="134" t="s">
        <v>79</v>
      </c>
      <c r="C8" s="134" t="s">
        <v>80</v>
      </c>
      <c r="D8" s="134" t="s">
        <v>81</v>
      </c>
      <c r="E8" s="134" t="s">
        <v>82</v>
      </c>
      <c r="F8" s="135" t="s">
        <v>83</v>
      </c>
      <c r="G8" s="136" t="s">
        <v>99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 s="117"/>
      <c r="BG8" s="117"/>
      <c r="BH8" s="117"/>
      <c r="BI8" s="117"/>
    </row>
    <row r="9" spans="1:61" s="182" customFormat="1">
      <c r="A9" s="178"/>
      <c r="B9" s="179"/>
      <c r="C9" s="180"/>
      <c r="D9" s="180"/>
      <c r="E9" s="179"/>
      <c r="F9" s="180"/>
      <c r="G9" s="181"/>
    </row>
    <row r="10" spans="1:61" s="182" customFormat="1">
      <c r="A10" s="178"/>
      <c r="B10" s="179"/>
      <c r="C10" s="180"/>
      <c r="D10" s="180"/>
      <c r="E10" s="179"/>
      <c r="F10" s="180"/>
      <c r="G10" s="181"/>
    </row>
    <row r="11" spans="1:61" s="182" customFormat="1">
      <c r="A11" s="178"/>
      <c r="B11" s="179"/>
      <c r="C11" s="180"/>
      <c r="D11" s="180"/>
      <c r="E11" s="179"/>
      <c r="F11" s="180"/>
      <c r="G11" s="181"/>
    </row>
    <row r="12" spans="1:61" s="182" customFormat="1">
      <c r="A12" s="178"/>
      <c r="B12" s="179"/>
      <c r="C12" s="180"/>
      <c r="D12" s="180"/>
      <c r="E12" s="179"/>
      <c r="F12" s="180"/>
      <c r="G12" s="181"/>
    </row>
    <row r="13" spans="1:61" s="182" customFormat="1">
      <c r="A13" s="178"/>
      <c r="B13" s="179"/>
      <c r="C13" s="180"/>
      <c r="D13" s="180"/>
      <c r="E13" s="179"/>
      <c r="F13" s="180"/>
      <c r="G13" s="181"/>
    </row>
    <row r="14" spans="1:61" s="182" customFormat="1">
      <c r="A14" s="178"/>
      <c r="B14" s="179"/>
      <c r="C14" s="180"/>
      <c r="D14" s="180"/>
      <c r="E14" s="179"/>
      <c r="F14" s="180"/>
      <c r="G14" s="181"/>
    </row>
    <row r="15" spans="1:61" s="182" customFormat="1">
      <c r="A15" s="178"/>
      <c r="B15" s="179"/>
      <c r="C15" s="180"/>
      <c r="D15" s="180"/>
      <c r="E15" s="179"/>
      <c r="F15" s="180"/>
      <c r="G15" s="181"/>
    </row>
    <row r="16" spans="1:61" s="182" customFormat="1">
      <c r="A16" s="178"/>
      <c r="B16" s="179"/>
      <c r="C16" s="180"/>
      <c r="D16" s="180"/>
      <c r="E16" s="179"/>
      <c r="F16" s="180"/>
      <c r="G16" s="181"/>
    </row>
    <row r="17" spans="1:7" s="182" customFormat="1">
      <c r="A17" s="178"/>
      <c r="B17" s="179"/>
      <c r="C17" s="180"/>
      <c r="D17" s="180"/>
      <c r="E17" s="179"/>
      <c r="F17" s="180"/>
      <c r="G17" s="181"/>
    </row>
    <row r="18" spans="1:7" s="182" customFormat="1">
      <c r="A18" s="178"/>
      <c r="B18" s="179"/>
      <c r="C18" s="180"/>
      <c r="D18" s="180"/>
      <c r="E18" s="179"/>
      <c r="F18" s="180"/>
      <c r="G18" s="181"/>
    </row>
    <row r="19" spans="1:7" s="182" customFormat="1">
      <c r="A19" s="178"/>
      <c r="B19" s="179"/>
      <c r="C19" s="180"/>
      <c r="D19" s="180"/>
      <c r="E19" s="179"/>
      <c r="F19" s="180"/>
      <c r="G19" s="181"/>
    </row>
    <row r="20" spans="1:7" s="182" customFormat="1">
      <c r="A20" s="178"/>
      <c r="B20" s="179"/>
      <c r="C20" s="180"/>
      <c r="D20" s="180"/>
      <c r="E20" s="179"/>
      <c r="F20" s="180"/>
      <c r="G20" s="181"/>
    </row>
    <row r="21" spans="1:7" s="182" customFormat="1">
      <c r="A21" s="178"/>
      <c r="B21" s="179"/>
      <c r="C21" s="179"/>
      <c r="D21" s="179"/>
      <c r="E21" s="179"/>
      <c r="F21" s="180"/>
      <c r="G21" s="181"/>
    </row>
    <row r="22" spans="1:7" s="182" customFormat="1">
      <c r="A22" s="178"/>
      <c r="B22" s="179"/>
      <c r="C22" s="179"/>
      <c r="D22" s="179"/>
      <c r="E22" s="179"/>
      <c r="F22" s="180"/>
      <c r="G22" s="181"/>
    </row>
    <row r="23" spans="1:7" s="182" customFormat="1">
      <c r="A23" s="178"/>
      <c r="B23" s="179"/>
      <c r="C23" s="179"/>
      <c r="D23" s="179"/>
      <c r="E23" s="179"/>
      <c r="F23" s="180"/>
      <c r="G23" s="181"/>
    </row>
    <row r="24" spans="1:7" s="182" customFormat="1">
      <c r="A24" s="178"/>
      <c r="B24" s="179"/>
      <c r="C24" s="179"/>
      <c r="D24" s="179"/>
      <c r="E24" s="179"/>
      <c r="F24" s="180"/>
      <c r="G24" s="181"/>
    </row>
    <row r="25" spans="1:7" s="182" customFormat="1">
      <c r="A25" s="178"/>
      <c r="B25" s="179"/>
      <c r="C25" s="179"/>
      <c r="D25" s="179"/>
      <c r="E25" s="179"/>
      <c r="F25" s="180"/>
      <c r="G25" s="181"/>
    </row>
    <row r="26" spans="1:7" s="182" customFormat="1">
      <c r="A26" s="178"/>
      <c r="B26" s="179"/>
      <c r="C26" s="179"/>
      <c r="D26" s="179"/>
      <c r="E26" s="179"/>
      <c r="F26" s="180"/>
      <c r="G26" s="181"/>
    </row>
    <row r="27" spans="1:7" s="182" customFormat="1">
      <c r="A27" s="178"/>
      <c r="B27" s="179"/>
      <c r="C27" s="180"/>
      <c r="D27" s="180"/>
      <c r="E27" s="179"/>
      <c r="F27" s="180"/>
      <c r="G27" s="181"/>
    </row>
    <row r="28" spans="1:7" s="182" customFormat="1">
      <c r="A28" s="178"/>
      <c r="B28" s="179"/>
      <c r="C28" s="180"/>
      <c r="D28" s="180"/>
      <c r="E28" s="179"/>
      <c r="F28" s="180"/>
      <c r="G28" s="181"/>
    </row>
    <row r="29" spans="1:7" s="182" customFormat="1">
      <c r="A29" s="178"/>
      <c r="B29" s="179"/>
      <c r="C29" s="180"/>
      <c r="D29" s="180"/>
      <c r="E29" s="179"/>
      <c r="F29" s="180"/>
      <c r="G29" s="181"/>
    </row>
    <row r="30" spans="1:7" s="182" customFormat="1">
      <c r="A30" s="178"/>
      <c r="B30" s="179"/>
      <c r="C30" s="180"/>
      <c r="D30" s="180"/>
      <c r="E30" s="179"/>
      <c r="F30" s="180"/>
      <c r="G30" s="181"/>
    </row>
    <row r="31" spans="1:7" s="182" customFormat="1">
      <c r="A31" s="178"/>
      <c r="B31" s="179"/>
      <c r="C31" s="180"/>
      <c r="D31" s="180"/>
      <c r="E31" s="179"/>
      <c r="F31" s="180"/>
      <c r="G31" s="181"/>
    </row>
    <row r="32" spans="1:7" s="182" customFormat="1">
      <c r="A32" s="178"/>
      <c r="B32" s="179"/>
      <c r="C32" s="180"/>
      <c r="D32" s="180"/>
      <c r="E32" s="179"/>
      <c r="F32" s="180"/>
      <c r="G32" s="181"/>
    </row>
    <row r="33" spans="1:7" s="182" customFormat="1">
      <c r="A33" s="178"/>
      <c r="B33" s="179"/>
      <c r="C33" s="180"/>
      <c r="D33" s="180"/>
      <c r="E33" s="179"/>
      <c r="F33" s="180"/>
      <c r="G33" s="181"/>
    </row>
    <row r="34" spans="1:7" s="182" customFormat="1">
      <c r="A34" s="178"/>
      <c r="B34" s="179"/>
      <c r="C34" s="180"/>
      <c r="D34" s="180"/>
      <c r="E34" s="179"/>
      <c r="F34" s="180"/>
      <c r="G34" s="181"/>
    </row>
    <row r="35" spans="1:7" s="182" customFormat="1">
      <c r="A35" s="178"/>
      <c r="B35" s="179"/>
      <c r="C35" s="180"/>
      <c r="D35" s="180"/>
      <c r="E35" s="179"/>
      <c r="F35" s="180"/>
      <c r="G35" s="181"/>
    </row>
    <row r="36" spans="1:7" s="182" customFormat="1">
      <c r="A36" s="178"/>
      <c r="B36" s="179"/>
      <c r="C36" s="180"/>
      <c r="D36" s="180"/>
      <c r="E36" s="179"/>
      <c r="F36" s="180"/>
      <c r="G36" s="181"/>
    </row>
    <row r="37" spans="1:7" s="182" customFormat="1">
      <c r="A37" s="178"/>
      <c r="B37" s="179"/>
      <c r="C37" s="180"/>
      <c r="D37" s="180"/>
      <c r="E37" s="179"/>
      <c r="F37" s="180"/>
      <c r="G37" s="181"/>
    </row>
    <row r="38" spans="1:7" s="182" customFormat="1">
      <c r="A38" s="178"/>
      <c r="B38" s="179"/>
      <c r="C38" s="180"/>
      <c r="D38" s="180"/>
      <c r="E38" s="179"/>
      <c r="F38" s="180"/>
      <c r="G38" s="181"/>
    </row>
    <row r="39" spans="1:7" s="182" customFormat="1">
      <c r="A39" s="178"/>
      <c r="B39" s="179"/>
      <c r="C39" s="180"/>
      <c r="D39" s="180"/>
      <c r="E39" s="179"/>
      <c r="F39" s="180"/>
      <c r="G39" s="181"/>
    </row>
    <row r="40" spans="1:7" s="182" customFormat="1">
      <c r="A40" s="178"/>
      <c r="B40" s="179"/>
      <c r="C40" s="180"/>
      <c r="D40" s="180"/>
      <c r="E40" s="179"/>
      <c r="F40" s="180"/>
      <c r="G40" s="181"/>
    </row>
    <row r="41" spans="1:7" s="182" customFormat="1">
      <c r="A41" s="178"/>
      <c r="B41" s="179"/>
      <c r="C41" s="180"/>
      <c r="D41" s="180"/>
      <c r="E41" s="179"/>
      <c r="F41" s="180"/>
      <c r="G41" s="181"/>
    </row>
    <row r="42" spans="1:7" s="182" customFormat="1">
      <c r="A42" s="178"/>
      <c r="B42" s="179"/>
      <c r="C42" s="180"/>
      <c r="D42" s="180"/>
      <c r="E42" s="179"/>
      <c r="F42" s="180"/>
      <c r="G42" s="181"/>
    </row>
    <row r="43" spans="1:7" s="182" customFormat="1">
      <c r="A43" s="178"/>
      <c r="B43" s="183"/>
      <c r="C43" s="184"/>
      <c r="D43" s="184"/>
      <c r="E43" s="179"/>
      <c r="F43" s="180"/>
      <c r="G43" s="181"/>
    </row>
    <row r="44" spans="1:7" s="182" customFormat="1">
      <c r="A44" s="178"/>
      <c r="B44" s="179"/>
      <c r="C44" s="180"/>
      <c r="D44" s="180"/>
      <c r="E44" s="179"/>
      <c r="F44" s="180"/>
      <c r="G44" s="181"/>
    </row>
    <row r="45" spans="1:7" s="182" customFormat="1">
      <c r="A45" s="178"/>
      <c r="B45" s="179"/>
      <c r="C45" s="180"/>
      <c r="D45" s="180"/>
      <c r="E45" s="179"/>
      <c r="F45" s="180"/>
      <c r="G45" s="181"/>
    </row>
    <row r="46" spans="1:7" s="182" customFormat="1">
      <c r="A46" s="178"/>
      <c r="B46" s="179"/>
      <c r="C46" s="180"/>
      <c r="D46" s="180"/>
      <c r="E46" s="179"/>
      <c r="F46" s="180"/>
      <c r="G46" s="181"/>
    </row>
    <row r="47" spans="1:7" s="182" customFormat="1">
      <c r="A47" s="178"/>
      <c r="B47" s="179"/>
      <c r="C47" s="180"/>
      <c r="D47" s="180"/>
      <c r="E47" s="179"/>
      <c r="F47" s="180"/>
      <c r="G47" s="181"/>
    </row>
    <row r="48" spans="1:7" s="182" customFormat="1">
      <c r="A48" s="178"/>
      <c r="B48" s="179"/>
      <c r="C48" s="180"/>
      <c r="D48" s="180"/>
      <c r="E48" s="179"/>
      <c r="F48" s="180"/>
      <c r="G48" s="181"/>
    </row>
    <row r="49" spans="1:7" s="182" customFormat="1">
      <c r="A49" s="178"/>
      <c r="B49" s="179"/>
      <c r="C49" s="180"/>
      <c r="D49" s="180"/>
      <c r="E49" s="179"/>
      <c r="F49" s="180"/>
      <c r="G49" s="181"/>
    </row>
    <row r="50" spans="1:7" s="182" customFormat="1">
      <c r="A50" s="178"/>
      <c r="B50" s="179"/>
      <c r="C50" s="180"/>
      <c r="D50" s="180"/>
      <c r="E50" s="179"/>
      <c r="F50" s="180"/>
      <c r="G50" s="181"/>
    </row>
    <row r="51" spans="1:7" s="182" customFormat="1">
      <c r="A51" s="178"/>
      <c r="B51" s="179"/>
      <c r="C51" s="180"/>
      <c r="D51" s="180"/>
      <c r="E51" s="179"/>
      <c r="F51" s="180"/>
      <c r="G51" s="181"/>
    </row>
    <row r="52" spans="1:7" s="182" customFormat="1">
      <c r="A52" s="178"/>
      <c r="B52" s="179"/>
      <c r="C52" s="180"/>
      <c r="D52" s="180"/>
      <c r="E52" s="179"/>
      <c r="F52" s="180"/>
      <c r="G52" s="181"/>
    </row>
    <row r="53" spans="1:7" s="182" customFormat="1">
      <c r="A53" s="178"/>
      <c r="B53" s="179"/>
      <c r="C53" s="180"/>
      <c r="D53" s="180"/>
      <c r="E53" s="179"/>
      <c r="F53" s="180"/>
      <c r="G53" s="181"/>
    </row>
    <row r="54" spans="1:7" s="182" customFormat="1">
      <c r="A54" s="178"/>
      <c r="B54" s="179"/>
      <c r="C54" s="179"/>
      <c r="D54" s="180"/>
      <c r="E54" s="179"/>
      <c r="F54" s="180"/>
      <c r="G54" s="181"/>
    </row>
    <row r="55" spans="1:7" s="182" customFormat="1">
      <c r="A55" s="178"/>
      <c r="B55" s="180"/>
      <c r="C55" s="180"/>
      <c r="D55" s="180"/>
      <c r="E55" s="179"/>
      <c r="F55" s="180"/>
      <c r="G55" s="181"/>
    </row>
    <row r="56" spans="1:7" s="182" customFormat="1">
      <c r="A56" s="178"/>
      <c r="B56" s="179"/>
      <c r="C56" s="179"/>
      <c r="D56" s="180"/>
      <c r="E56" s="179"/>
      <c r="F56" s="180"/>
      <c r="G56" s="181"/>
    </row>
    <row r="57" spans="1:7" s="182" customFormat="1">
      <c r="A57" s="178"/>
      <c r="B57" s="179"/>
      <c r="C57" s="179"/>
      <c r="D57" s="179"/>
      <c r="E57" s="179"/>
      <c r="F57" s="180"/>
      <c r="G57" s="181"/>
    </row>
    <row r="58" spans="1:7" s="182" customFormat="1">
      <c r="A58" s="178"/>
      <c r="B58" s="179"/>
      <c r="C58" s="179"/>
      <c r="D58" s="179"/>
      <c r="E58" s="179"/>
      <c r="F58" s="180"/>
      <c r="G58" s="181"/>
    </row>
    <row r="59" spans="1:7" s="182" customFormat="1">
      <c r="A59" s="178"/>
      <c r="B59" s="179"/>
      <c r="C59" s="179"/>
      <c r="D59" s="179"/>
      <c r="E59" s="179"/>
      <c r="F59" s="180"/>
      <c r="G59" s="181"/>
    </row>
    <row r="60" spans="1:7" s="182" customFormat="1">
      <c r="A60" s="178"/>
      <c r="B60" s="179"/>
      <c r="C60" s="180"/>
      <c r="D60" s="180"/>
      <c r="E60" s="179"/>
      <c r="F60" s="180"/>
      <c r="G60" s="181"/>
    </row>
    <row r="61" spans="1:7" s="182" customFormat="1">
      <c r="A61" s="178"/>
      <c r="B61" s="179"/>
      <c r="C61" s="180"/>
      <c r="D61" s="180"/>
      <c r="E61" s="179"/>
      <c r="F61" s="180"/>
      <c r="G61" s="181"/>
    </row>
    <row r="62" spans="1:7" s="182" customFormat="1">
      <c r="A62" s="178"/>
      <c r="B62" s="179"/>
      <c r="C62" s="180"/>
      <c r="D62" s="180"/>
      <c r="E62" s="179"/>
      <c r="F62" s="180"/>
      <c r="G62" s="181"/>
    </row>
    <row r="63" spans="1:7" s="182" customFormat="1">
      <c r="A63" s="178"/>
      <c r="B63" s="179"/>
      <c r="C63" s="180"/>
      <c r="D63" s="180"/>
      <c r="E63" s="179"/>
      <c r="F63" s="180"/>
      <c r="G63" s="181"/>
    </row>
    <row r="64" spans="1:7" s="182" customFormat="1">
      <c r="A64" s="178"/>
      <c r="B64" s="179"/>
      <c r="C64" s="180"/>
      <c r="D64" s="180"/>
      <c r="E64" s="179"/>
      <c r="F64" s="180"/>
      <c r="G64" s="181"/>
    </row>
    <row r="65" spans="1:7" s="182" customFormat="1">
      <c r="A65" s="178"/>
      <c r="B65" s="179"/>
      <c r="C65" s="180"/>
      <c r="D65" s="180"/>
      <c r="E65" s="179"/>
      <c r="F65" s="180"/>
      <c r="G65" s="181"/>
    </row>
    <row r="66" spans="1:7" s="182" customFormat="1">
      <c r="A66" s="178"/>
      <c r="B66" s="179"/>
      <c r="C66" s="180"/>
      <c r="D66" s="180"/>
      <c r="E66" s="179"/>
      <c r="F66" s="180"/>
      <c r="G66" s="181"/>
    </row>
    <row r="67" spans="1:7" s="182" customFormat="1">
      <c r="A67" s="178"/>
      <c r="B67" s="179"/>
      <c r="C67" s="180"/>
      <c r="D67" s="180"/>
      <c r="E67" s="179"/>
      <c r="F67" s="180"/>
      <c r="G67" s="181"/>
    </row>
    <row r="68" spans="1:7" s="182" customFormat="1">
      <c r="A68" s="178"/>
      <c r="B68" s="179"/>
      <c r="C68" s="180"/>
      <c r="D68" s="180"/>
      <c r="E68" s="179"/>
      <c r="F68" s="180"/>
      <c r="G68" s="181"/>
    </row>
    <row r="69" spans="1:7" s="182" customFormat="1">
      <c r="A69" s="178"/>
      <c r="B69" s="179"/>
      <c r="C69" s="180"/>
      <c r="D69" s="180"/>
      <c r="E69" s="179"/>
      <c r="F69" s="180"/>
      <c r="G69" s="181"/>
    </row>
    <row r="70" spans="1:7" s="182" customFormat="1">
      <c r="A70" s="178"/>
      <c r="B70" s="179"/>
      <c r="C70" s="180"/>
      <c r="D70" s="180"/>
      <c r="E70" s="179"/>
      <c r="F70" s="180"/>
      <c r="G70" s="181"/>
    </row>
    <row r="71" spans="1:7" s="182" customFormat="1">
      <c r="A71" s="178"/>
      <c r="B71" s="179"/>
      <c r="C71" s="179"/>
      <c r="D71" s="179"/>
      <c r="E71" s="179"/>
      <c r="F71" s="180"/>
      <c r="G71" s="181"/>
    </row>
    <row r="72" spans="1:7" s="182" customFormat="1">
      <c r="A72" s="178"/>
      <c r="B72" s="179"/>
      <c r="C72" s="179"/>
      <c r="D72" s="179"/>
      <c r="E72" s="179"/>
      <c r="F72" s="180"/>
      <c r="G72" s="181"/>
    </row>
    <row r="73" spans="1:7" s="182" customFormat="1">
      <c r="A73" s="178"/>
      <c r="B73" s="179"/>
      <c r="C73" s="179"/>
      <c r="D73" s="179"/>
      <c r="E73" s="179"/>
      <c r="F73" s="180"/>
      <c r="G73" s="181"/>
    </row>
    <row r="74" spans="1:7" s="182" customFormat="1">
      <c r="A74" s="178"/>
      <c r="B74" s="179"/>
      <c r="C74" s="180"/>
      <c r="D74" s="180"/>
      <c r="E74" s="179"/>
      <c r="F74" s="180"/>
      <c r="G74" s="181"/>
    </row>
    <row r="75" spans="1:7" s="182" customFormat="1">
      <c r="A75" s="178"/>
      <c r="B75" s="179"/>
      <c r="C75" s="180"/>
      <c r="D75" s="180"/>
      <c r="E75" s="179"/>
      <c r="F75" s="180"/>
      <c r="G75" s="181"/>
    </row>
    <row r="76" spans="1:7" s="182" customFormat="1">
      <c r="A76" s="178"/>
      <c r="B76" s="179"/>
      <c r="C76" s="180"/>
      <c r="D76" s="180"/>
      <c r="E76" s="179"/>
      <c r="F76" s="180"/>
      <c r="G76" s="181"/>
    </row>
    <row r="77" spans="1:7" s="182" customFormat="1">
      <c r="A77" s="178"/>
      <c r="B77" s="179"/>
      <c r="C77" s="180"/>
      <c r="D77" s="180"/>
      <c r="E77" s="179"/>
      <c r="F77" s="180"/>
      <c r="G77" s="181"/>
    </row>
    <row r="78" spans="1:7" s="182" customFormat="1">
      <c r="A78" s="178"/>
      <c r="B78" s="179"/>
      <c r="C78" s="179"/>
      <c r="D78" s="179"/>
      <c r="E78" s="179"/>
      <c r="F78" s="180"/>
      <c r="G78" s="181"/>
    </row>
    <row r="79" spans="1:7" s="182" customFormat="1">
      <c r="A79" s="178"/>
      <c r="B79" s="179"/>
      <c r="C79" s="179"/>
      <c r="D79" s="179"/>
      <c r="E79" s="179"/>
      <c r="F79" s="180"/>
      <c r="G79" s="181"/>
    </row>
    <row r="80" spans="1:7" s="182" customFormat="1">
      <c r="A80" s="178"/>
      <c r="B80" s="179"/>
      <c r="C80" s="180"/>
      <c r="D80" s="180"/>
      <c r="E80" s="179"/>
      <c r="F80" s="180"/>
      <c r="G80" s="181"/>
    </row>
    <row r="81" spans="1:7" s="182" customFormat="1">
      <c r="A81" s="178"/>
      <c r="B81" s="179"/>
      <c r="C81" s="180"/>
      <c r="D81" s="180"/>
      <c r="E81" s="179"/>
      <c r="F81" s="180"/>
      <c r="G81" s="181"/>
    </row>
    <row r="82" spans="1:7" s="182" customFormat="1">
      <c r="A82" s="178"/>
      <c r="B82" s="179"/>
      <c r="C82" s="180"/>
      <c r="D82" s="180"/>
      <c r="E82" s="179"/>
      <c r="F82" s="180"/>
      <c r="G82" s="181"/>
    </row>
    <row r="83" spans="1:7" s="182" customFormat="1">
      <c r="A83" s="178"/>
      <c r="B83" s="179"/>
      <c r="C83" s="180"/>
      <c r="D83" s="180"/>
      <c r="E83" s="179"/>
      <c r="F83" s="180"/>
      <c r="G83" s="185"/>
    </row>
    <row r="84" spans="1:7" s="182" customFormat="1">
      <c r="A84" s="178"/>
      <c r="B84" s="179"/>
      <c r="C84" s="180"/>
      <c r="D84" s="180"/>
      <c r="E84" s="179"/>
      <c r="F84" s="180"/>
      <c r="G84" s="181"/>
    </row>
    <row r="85" spans="1:7" s="182" customFormat="1">
      <c r="A85" s="178"/>
      <c r="B85" s="179"/>
      <c r="C85" s="180"/>
      <c r="D85" s="180"/>
      <c r="E85" s="179"/>
      <c r="F85" s="180"/>
      <c r="G85" s="181"/>
    </row>
    <row r="86" spans="1:7" s="182" customFormat="1">
      <c r="A86" s="178"/>
      <c r="B86" s="179"/>
      <c r="C86" s="180"/>
      <c r="D86" s="180"/>
      <c r="E86" s="179"/>
      <c r="F86" s="180"/>
      <c r="G86" s="181"/>
    </row>
    <row r="87" spans="1:7" s="182" customFormat="1">
      <c r="A87" s="178"/>
      <c r="B87" s="179"/>
      <c r="C87" s="180"/>
      <c r="D87" s="180"/>
      <c r="E87" s="179"/>
      <c r="F87" s="180"/>
      <c r="G87" s="181"/>
    </row>
    <row r="88" spans="1:7" s="182" customFormat="1">
      <c r="A88" s="178"/>
      <c r="B88" s="179"/>
      <c r="C88" s="180"/>
      <c r="D88" s="180"/>
      <c r="E88" s="179"/>
      <c r="F88" s="180"/>
      <c r="G88" s="181"/>
    </row>
    <row r="89" spans="1:7" s="182" customFormat="1">
      <c r="A89" s="178"/>
      <c r="B89" s="179"/>
      <c r="C89" s="180"/>
      <c r="D89" s="180"/>
      <c r="E89" s="179"/>
      <c r="F89" s="180"/>
      <c r="G89" s="181"/>
    </row>
    <row r="90" spans="1:7" s="182" customFormat="1">
      <c r="A90" s="178"/>
      <c r="B90" s="179"/>
      <c r="C90" s="180"/>
      <c r="D90" s="180"/>
      <c r="E90" s="179"/>
      <c r="F90" s="180"/>
      <c r="G90" s="181"/>
    </row>
    <row r="91" spans="1:7" s="182" customFormat="1">
      <c r="A91" s="178"/>
      <c r="B91" s="179"/>
      <c r="C91" s="180"/>
      <c r="D91" s="180"/>
      <c r="E91" s="179"/>
      <c r="F91" s="180"/>
      <c r="G91" s="181"/>
    </row>
    <row r="92" spans="1:7" s="182" customFormat="1">
      <c r="A92" s="178"/>
      <c r="B92" s="179"/>
      <c r="C92" s="180"/>
      <c r="D92" s="180"/>
      <c r="E92" s="179"/>
      <c r="F92" s="180"/>
      <c r="G92" s="181"/>
    </row>
    <row r="93" spans="1:7" s="182" customFormat="1">
      <c r="A93" s="178"/>
      <c r="B93" s="179"/>
      <c r="C93" s="180"/>
      <c r="D93" s="180"/>
      <c r="E93" s="179"/>
      <c r="F93" s="180"/>
      <c r="G93" s="181"/>
    </row>
    <row r="94" spans="1:7" s="182" customFormat="1">
      <c r="A94" s="178"/>
      <c r="B94" s="179"/>
      <c r="C94" s="180"/>
      <c r="D94" s="180"/>
      <c r="E94" s="179"/>
      <c r="F94" s="180"/>
      <c r="G94" s="181"/>
    </row>
    <row r="95" spans="1:7" s="182" customFormat="1">
      <c r="A95" s="178"/>
      <c r="B95" s="179"/>
      <c r="C95" s="180"/>
      <c r="D95" s="180"/>
      <c r="E95" s="179"/>
      <c r="F95" s="180"/>
      <c r="G95" s="181"/>
    </row>
    <row r="96" spans="1:7" s="182" customFormat="1">
      <c r="A96" s="178"/>
      <c r="B96" s="179"/>
      <c r="C96" s="180"/>
      <c r="D96" s="180"/>
      <c r="E96" s="179"/>
      <c r="F96" s="180"/>
      <c r="G96" s="181"/>
    </row>
    <row r="97" spans="1:7" s="182" customFormat="1">
      <c r="A97" s="178"/>
      <c r="B97" s="179"/>
      <c r="C97" s="180"/>
      <c r="D97" s="180"/>
      <c r="E97" s="179"/>
      <c r="F97" s="180"/>
      <c r="G97" s="181"/>
    </row>
    <row r="98" spans="1:7" s="182" customFormat="1">
      <c r="A98" s="178"/>
      <c r="B98" s="179"/>
      <c r="C98" s="180"/>
      <c r="D98" s="180"/>
      <c r="E98" s="179"/>
      <c r="F98" s="180"/>
      <c r="G98" s="181"/>
    </row>
    <row r="99" spans="1:7" s="182" customFormat="1">
      <c r="A99" s="178"/>
      <c r="B99" s="179"/>
      <c r="C99" s="180"/>
      <c r="D99" s="180"/>
      <c r="E99" s="179"/>
      <c r="F99" s="180"/>
      <c r="G99" s="181"/>
    </row>
    <row r="100" spans="1:7" s="182" customFormat="1">
      <c r="A100" s="178"/>
      <c r="B100" s="179"/>
      <c r="C100" s="180"/>
      <c r="D100" s="180"/>
      <c r="E100" s="179"/>
      <c r="F100" s="180"/>
      <c r="G100" s="181"/>
    </row>
    <row r="101" spans="1:7" s="182" customFormat="1">
      <c r="A101" s="178"/>
      <c r="B101" s="179"/>
      <c r="C101" s="180"/>
      <c r="D101" s="180"/>
      <c r="E101" s="179"/>
      <c r="F101" s="180"/>
      <c r="G101" s="181"/>
    </row>
    <row r="102" spans="1:7" s="182" customFormat="1">
      <c r="A102" s="178"/>
      <c r="B102" s="179"/>
      <c r="C102" s="180"/>
      <c r="D102" s="180"/>
      <c r="E102" s="179"/>
      <c r="F102" s="180"/>
      <c r="G102" s="181"/>
    </row>
    <row r="103" spans="1:7" s="182" customFormat="1">
      <c r="A103" s="178"/>
      <c r="B103" s="179"/>
      <c r="C103" s="180"/>
      <c r="D103" s="180"/>
      <c r="E103" s="179"/>
      <c r="F103" s="180"/>
      <c r="G103" s="181"/>
    </row>
    <row r="104" spans="1:7" s="182" customFormat="1">
      <c r="A104" s="178"/>
      <c r="B104" s="179"/>
      <c r="C104" s="180"/>
      <c r="D104" s="180"/>
      <c r="E104" s="179"/>
      <c r="F104" s="180"/>
      <c r="G104" s="181"/>
    </row>
    <row r="105" spans="1:7" s="182" customFormat="1">
      <c r="A105" s="178"/>
      <c r="B105" s="179"/>
      <c r="C105" s="180"/>
      <c r="D105" s="180"/>
      <c r="E105" s="179"/>
      <c r="F105" s="180"/>
      <c r="G105" s="181"/>
    </row>
    <row r="106" spans="1:7" s="182" customFormat="1">
      <c r="A106" s="178"/>
      <c r="B106" s="179"/>
      <c r="C106" s="180"/>
      <c r="D106" s="180"/>
      <c r="E106" s="179"/>
      <c r="F106" s="180"/>
      <c r="G106" s="181"/>
    </row>
    <row r="107" spans="1:7" s="182" customFormat="1">
      <c r="A107" s="178"/>
      <c r="B107" s="179"/>
      <c r="C107" s="180"/>
      <c r="D107" s="180"/>
      <c r="E107" s="179"/>
      <c r="F107" s="180"/>
      <c r="G107" s="181"/>
    </row>
    <row r="108" spans="1:7" customFormat="1">
      <c r="A108" s="88"/>
      <c r="B108" s="87"/>
      <c r="C108" s="22"/>
      <c r="D108" s="22"/>
      <c r="E108" s="87"/>
      <c r="F108" s="22"/>
    </row>
    <row r="109" spans="1:7" customFormat="1">
      <c r="A109" s="88"/>
      <c r="B109" s="87"/>
      <c r="C109" s="22"/>
      <c r="D109" s="22"/>
      <c r="E109" s="87"/>
      <c r="F109" s="22"/>
    </row>
    <row r="110" spans="1:7" customFormat="1">
      <c r="A110" s="88"/>
      <c r="B110" s="87"/>
      <c r="C110" s="22"/>
      <c r="D110" s="22"/>
      <c r="E110" s="87"/>
      <c r="F110" s="22"/>
    </row>
    <row r="111" spans="1:7" customFormat="1">
      <c r="A111" s="88"/>
      <c r="B111" s="87"/>
      <c r="C111" s="22"/>
      <c r="D111" s="22"/>
      <c r="E111" s="87"/>
      <c r="F111" s="22"/>
    </row>
    <row r="112" spans="1:7" customFormat="1">
      <c r="A112" s="88"/>
      <c r="B112" s="87"/>
      <c r="C112" s="22"/>
      <c r="D112" s="22"/>
      <c r="E112" s="87"/>
      <c r="F112" s="22"/>
    </row>
    <row r="113" spans="1:6" customFormat="1">
      <c r="A113" s="88"/>
      <c r="B113" s="87"/>
      <c r="C113" s="22"/>
      <c r="D113" s="22"/>
      <c r="E113" s="87"/>
      <c r="F113" s="22"/>
    </row>
    <row r="114" spans="1:6" customFormat="1">
      <c r="A114" s="88"/>
      <c r="B114" s="87"/>
      <c r="C114" s="22"/>
      <c r="D114" s="22"/>
      <c r="E114" s="87"/>
      <c r="F114" s="22"/>
    </row>
    <row r="115" spans="1:6" customFormat="1">
      <c r="A115" s="88"/>
      <c r="B115" s="87"/>
      <c r="C115" s="22"/>
      <c r="D115" s="22"/>
      <c r="E115" s="87"/>
      <c r="F115" s="22"/>
    </row>
    <row r="116" spans="1:6" customFormat="1">
      <c r="A116" s="88"/>
      <c r="B116" s="87"/>
      <c r="C116" s="22"/>
      <c r="D116" s="22"/>
      <c r="E116" s="87"/>
      <c r="F116" s="22"/>
    </row>
    <row r="117" spans="1:6" customFormat="1">
      <c r="A117" s="88"/>
      <c r="B117" s="87"/>
      <c r="C117" s="22"/>
      <c r="D117" s="22"/>
      <c r="E117" s="87"/>
      <c r="F117" s="22"/>
    </row>
    <row r="118" spans="1:6" customFormat="1">
      <c r="A118" s="88"/>
      <c r="B118" s="87"/>
      <c r="C118" s="22"/>
      <c r="D118" s="22"/>
      <c r="E118" s="87"/>
      <c r="F118" s="22"/>
    </row>
    <row r="119" spans="1:6" customFormat="1">
      <c r="A119" s="88"/>
      <c r="B119" s="88"/>
      <c r="C119" s="88"/>
      <c r="D119" s="88"/>
      <c r="E119" s="87"/>
      <c r="F119" s="22"/>
    </row>
    <row r="120" spans="1:6" customFormat="1">
      <c r="A120" s="88"/>
      <c r="B120" s="87"/>
      <c r="C120" s="22"/>
      <c r="D120" s="22"/>
      <c r="E120" s="87"/>
      <c r="F120" s="22"/>
    </row>
    <row r="121" spans="1:6" customFormat="1">
      <c r="A121" s="88"/>
      <c r="B121" s="87"/>
      <c r="C121" s="22"/>
      <c r="D121" s="22"/>
      <c r="E121" s="87"/>
      <c r="F121" s="22"/>
    </row>
    <row r="122" spans="1:6" customFormat="1">
      <c r="A122" s="88"/>
      <c r="B122" s="87"/>
      <c r="C122" s="22"/>
      <c r="D122" s="22"/>
      <c r="E122" s="87"/>
      <c r="F122" s="22"/>
    </row>
    <row r="123" spans="1:6" customFormat="1">
      <c r="A123" s="88"/>
      <c r="B123" s="87"/>
      <c r="C123" s="22"/>
      <c r="D123" s="22"/>
      <c r="E123" s="87"/>
      <c r="F123" s="22"/>
    </row>
    <row r="124" spans="1:6" customFormat="1">
      <c r="A124" s="88"/>
      <c r="B124" s="87"/>
      <c r="C124" s="22"/>
      <c r="D124" s="22"/>
      <c r="E124" s="87"/>
      <c r="F124" s="22"/>
    </row>
    <row r="125" spans="1:6" customFormat="1">
      <c r="A125" s="88"/>
      <c r="B125" s="87"/>
      <c r="C125" s="22"/>
      <c r="D125" s="22"/>
      <c r="E125" s="87"/>
      <c r="F125" s="22"/>
    </row>
    <row r="126" spans="1:6" customFormat="1">
      <c r="A126" s="88"/>
      <c r="B126" s="87"/>
      <c r="C126" s="22"/>
      <c r="D126" s="22"/>
      <c r="E126" s="87"/>
      <c r="F126" s="22"/>
    </row>
    <row r="127" spans="1:6" customFormat="1">
      <c r="A127" s="88"/>
      <c r="B127" s="87"/>
      <c r="C127" s="22"/>
      <c r="D127" s="22"/>
      <c r="E127" s="87"/>
      <c r="F127" s="22"/>
    </row>
    <row r="128" spans="1:6" customFormat="1">
      <c r="A128" s="88"/>
      <c r="B128" s="87"/>
      <c r="C128" s="22"/>
      <c r="D128" s="22"/>
      <c r="E128" s="87"/>
      <c r="F128" s="22"/>
    </row>
    <row r="129" spans="1:6" customFormat="1">
      <c r="A129" s="88"/>
      <c r="B129" s="87"/>
      <c r="C129" s="22"/>
      <c r="D129" s="22"/>
      <c r="E129" s="87"/>
      <c r="F129" s="22"/>
    </row>
    <row r="130" spans="1:6" customFormat="1">
      <c r="A130" s="88"/>
      <c r="B130" s="87"/>
      <c r="C130" s="22"/>
      <c r="D130" s="22"/>
      <c r="E130" s="87"/>
      <c r="F130" s="22"/>
    </row>
    <row r="131" spans="1:6" customFormat="1">
      <c r="A131" s="88"/>
      <c r="B131" s="87"/>
      <c r="C131" s="22"/>
      <c r="D131" s="22"/>
      <c r="E131" s="87"/>
      <c r="F131" s="22"/>
    </row>
    <row r="132" spans="1:6" customFormat="1">
      <c r="A132" s="88"/>
      <c r="B132" s="87"/>
      <c r="C132" s="22"/>
      <c r="D132" s="22"/>
      <c r="E132" s="87"/>
      <c r="F132" s="22"/>
    </row>
    <row r="133" spans="1:6" customFormat="1">
      <c r="A133" s="88"/>
      <c r="B133" s="87"/>
      <c r="C133" s="22"/>
      <c r="D133" s="22"/>
      <c r="E133" s="87"/>
      <c r="F133" s="22"/>
    </row>
    <row r="134" spans="1:6" customFormat="1">
      <c r="A134" s="88"/>
      <c r="B134" s="87"/>
      <c r="C134" s="22"/>
      <c r="D134" s="22"/>
      <c r="E134" s="87"/>
      <c r="F134" s="22"/>
    </row>
    <row r="135" spans="1:6" customFormat="1">
      <c r="A135" s="88"/>
      <c r="B135" s="87"/>
      <c r="C135" s="22"/>
      <c r="D135" s="22"/>
      <c r="E135" s="87"/>
      <c r="F135" s="22"/>
    </row>
    <row r="136" spans="1:6" customFormat="1">
      <c r="A136" s="88"/>
      <c r="B136" s="87"/>
      <c r="C136" s="22"/>
      <c r="D136" s="22"/>
      <c r="E136" s="87"/>
      <c r="F136" s="22"/>
    </row>
    <row r="137" spans="1:6" customFormat="1">
      <c r="A137" s="88"/>
      <c r="B137" s="87"/>
      <c r="C137" s="22"/>
      <c r="D137" s="22"/>
      <c r="E137" s="87"/>
      <c r="F137" s="22"/>
    </row>
    <row r="138" spans="1:6" customFormat="1">
      <c r="A138" s="88"/>
      <c r="B138" s="87"/>
      <c r="C138" s="22"/>
      <c r="D138" s="22"/>
      <c r="E138" s="87"/>
      <c r="F138" s="22"/>
    </row>
    <row r="139" spans="1:6" customFormat="1">
      <c r="A139" s="88"/>
      <c r="B139" s="87"/>
      <c r="C139" s="22"/>
      <c r="D139" s="22"/>
      <c r="E139" s="87"/>
      <c r="F139" s="22"/>
    </row>
    <row r="140" spans="1:6" customFormat="1">
      <c r="A140" s="88"/>
      <c r="B140" s="87"/>
      <c r="C140" s="22"/>
      <c r="D140" s="22"/>
      <c r="E140" s="87"/>
      <c r="F140" s="22"/>
    </row>
    <row r="141" spans="1:6" customFormat="1">
      <c r="A141" s="88"/>
      <c r="B141" s="87"/>
      <c r="C141" s="22"/>
      <c r="D141" s="22"/>
      <c r="E141" s="87"/>
      <c r="F141" s="22"/>
    </row>
    <row r="142" spans="1:6" customFormat="1">
      <c r="A142" s="88"/>
      <c r="B142" s="87"/>
      <c r="C142" s="22"/>
      <c r="D142" s="22"/>
      <c r="E142" s="87"/>
      <c r="F142" s="22"/>
    </row>
    <row r="143" spans="1:6" customFormat="1">
      <c r="A143" s="88"/>
      <c r="B143" s="87"/>
      <c r="C143" s="22"/>
      <c r="D143" s="22"/>
      <c r="E143" s="87"/>
      <c r="F143" s="22"/>
    </row>
    <row r="144" spans="1:6" customFormat="1">
      <c r="A144" s="88"/>
      <c r="B144" s="87"/>
      <c r="C144" s="22"/>
      <c r="D144" s="22"/>
      <c r="E144" s="87"/>
      <c r="F144" s="22"/>
    </row>
    <row r="145" spans="1:6" customFormat="1">
      <c r="A145" s="88"/>
      <c r="B145" s="87"/>
      <c r="C145" s="22"/>
      <c r="D145" s="22"/>
      <c r="E145" s="87"/>
      <c r="F145" s="22"/>
    </row>
    <row r="146" spans="1:6" customFormat="1">
      <c r="A146" s="88"/>
      <c r="B146" s="87"/>
      <c r="C146" s="22"/>
      <c r="D146" s="22"/>
      <c r="E146" s="87"/>
      <c r="F146" s="22"/>
    </row>
    <row r="147" spans="1:6" customFormat="1">
      <c r="A147" s="88"/>
      <c r="B147" s="87"/>
      <c r="C147" s="22"/>
      <c r="D147" s="22"/>
      <c r="E147" s="87"/>
      <c r="F147" s="22"/>
    </row>
    <row r="148" spans="1:6" customFormat="1">
      <c r="A148" s="88"/>
      <c r="B148" s="87"/>
      <c r="C148" s="22"/>
      <c r="D148" s="22"/>
      <c r="E148" s="87"/>
      <c r="F148" s="22"/>
    </row>
    <row r="149" spans="1:6" customFormat="1">
      <c r="A149" s="88"/>
      <c r="B149" s="87"/>
      <c r="C149" s="22"/>
      <c r="D149" s="22"/>
      <c r="E149" s="87"/>
      <c r="F149" s="22"/>
    </row>
    <row r="150" spans="1:6" customFormat="1">
      <c r="A150" s="88"/>
      <c r="B150" s="87"/>
      <c r="C150" s="22"/>
      <c r="D150" s="22"/>
      <c r="E150" s="87"/>
      <c r="F150" s="22"/>
    </row>
    <row r="151" spans="1:6" customFormat="1">
      <c r="A151" s="88"/>
      <c r="B151" s="87"/>
      <c r="C151" s="22"/>
      <c r="D151" s="22"/>
      <c r="E151" s="87"/>
      <c r="F151" s="22"/>
    </row>
    <row r="152" spans="1:6" customFormat="1">
      <c r="A152" s="88"/>
      <c r="B152" s="87"/>
      <c r="C152" s="22"/>
      <c r="D152" s="22"/>
      <c r="E152" s="87"/>
      <c r="F152" s="22"/>
    </row>
    <row r="153" spans="1:6" customFormat="1">
      <c r="A153" s="88"/>
      <c r="B153" s="87"/>
      <c r="C153" s="22"/>
      <c r="D153" s="22"/>
      <c r="E153" s="87"/>
      <c r="F153" s="22"/>
    </row>
    <row r="154" spans="1:6" customFormat="1">
      <c r="A154" s="88"/>
      <c r="B154" s="87"/>
      <c r="C154" s="22"/>
      <c r="D154" s="22"/>
      <c r="E154" s="87"/>
      <c r="F154" s="22"/>
    </row>
    <row r="155" spans="1:6" customFormat="1">
      <c r="A155" s="88"/>
      <c r="B155" s="87"/>
      <c r="C155" s="22"/>
      <c r="D155" s="22"/>
      <c r="E155" s="87"/>
      <c r="F155" s="22"/>
    </row>
    <row r="156" spans="1:6" customFormat="1">
      <c r="A156" s="88"/>
      <c r="B156" s="87"/>
      <c r="C156" s="22"/>
      <c r="D156" s="22"/>
      <c r="E156" s="87"/>
      <c r="F156" s="22"/>
    </row>
    <row r="157" spans="1:6" customFormat="1">
      <c r="A157" s="88"/>
      <c r="B157" s="87"/>
      <c r="C157" s="22"/>
      <c r="D157" s="22"/>
      <c r="E157" s="87"/>
      <c r="F157" s="22"/>
    </row>
    <row r="158" spans="1:6" customFormat="1">
      <c r="A158" s="88"/>
      <c r="B158" s="87"/>
      <c r="C158" s="22"/>
      <c r="D158" s="22"/>
      <c r="E158" s="87"/>
      <c r="F158" s="22"/>
    </row>
    <row r="159" spans="1:6" customFormat="1">
      <c r="A159" s="88"/>
      <c r="B159" s="87"/>
      <c r="C159" s="22"/>
      <c r="D159" s="22"/>
      <c r="E159" s="87"/>
      <c r="F159" s="22"/>
    </row>
    <row r="160" spans="1:6" customFormat="1">
      <c r="A160" s="88"/>
      <c r="B160" s="87"/>
      <c r="C160" s="22"/>
      <c r="D160" s="22"/>
      <c r="E160" s="87"/>
      <c r="F160" s="22"/>
    </row>
    <row r="161" spans="1:7" customFormat="1">
      <c r="A161" s="88"/>
      <c r="B161" s="87"/>
      <c r="C161" s="22"/>
      <c r="D161" s="22"/>
      <c r="E161" s="87"/>
      <c r="F161" s="22"/>
    </row>
    <row r="162" spans="1:7" customFormat="1">
      <c r="A162" s="88"/>
      <c r="B162" s="87"/>
      <c r="C162" s="22"/>
      <c r="D162" s="22"/>
      <c r="E162" s="87"/>
      <c r="F162" s="22"/>
    </row>
    <row r="163" spans="1:7" customFormat="1">
      <c r="A163" s="88"/>
      <c r="B163" s="87"/>
      <c r="C163" s="22"/>
      <c r="D163" s="22"/>
      <c r="E163" s="87"/>
      <c r="F163" s="22"/>
    </row>
    <row r="164" spans="1:7" customFormat="1">
      <c r="A164" s="88"/>
      <c r="B164" s="87"/>
      <c r="C164" s="22"/>
      <c r="D164" s="22"/>
      <c r="E164" s="87"/>
      <c r="F164" s="22"/>
    </row>
    <row r="165" spans="1:7" customFormat="1">
      <c r="A165" s="88"/>
      <c r="B165" s="87"/>
      <c r="C165" s="22"/>
      <c r="D165" s="22"/>
      <c r="E165" s="87"/>
      <c r="F165" s="22"/>
    </row>
    <row r="166" spans="1:7" customFormat="1">
      <c r="A166" s="88"/>
      <c r="B166" s="87"/>
      <c r="C166" s="22"/>
      <c r="D166" s="22"/>
      <c r="E166" s="87"/>
      <c r="F166" s="22"/>
      <c r="G166" s="120"/>
    </row>
    <row r="167" spans="1:7" customFormat="1">
      <c r="A167" s="88"/>
      <c r="B167" s="87"/>
      <c r="C167" s="22"/>
      <c r="D167" s="22"/>
      <c r="E167" s="87"/>
      <c r="F167" s="22"/>
    </row>
    <row r="168" spans="1:7" customFormat="1">
      <c r="A168" s="88"/>
      <c r="B168" s="87"/>
      <c r="C168" s="22"/>
      <c r="D168" s="22"/>
      <c r="E168" s="87"/>
      <c r="F168" s="22"/>
    </row>
    <row r="169" spans="1:7" customFormat="1">
      <c r="A169" s="88"/>
      <c r="B169" s="87"/>
      <c r="C169" s="22"/>
      <c r="D169" s="22"/>
      <c r="E169" s="87"/>
      <c r="F169" s="22"/>
    </row>
    <row r="170" spans="1:7" customFormat="1">
      <c r="A170" s="88"/>
      <c r="B170" s="87"/>
      <c r="C170" s="22"/>
      <c r="D170" s="22"/>
      <c r="E170" s="87"/>
      <c r="F170" s="22"/>
    </row>
    <row r="171" spans="1:7" customFormat="1">
      <c r="A171" s="88"/>
      <c r="B171" s="87"/>
      <c r="C171" s="22"/>
      <c r="D171" s="22"/>
      <c r="E171" s="87"/>
      <c r="F171" s="22"/>
    </row>
    <row r="172" spans="1:7" customFormat="1">
      <c r="A172" s="88"/>
      <c r="B172" s="87"/>
      <c r="C172" s="22"/>
      <c r="D172" s="22"/>
      <c r="E172" s="87"/>
      <c r="F172" s="22"/>
    </row>
    <row r="173" spans="1:7" customFormat="1">
      <c r="A173" s="88"/>
      <c r="B173" s="87"/>
      <c r="C173" s="22"/>
      <c r="D173" s="22"/>
      <c r="E173" s="87"/>
      <c r="F173" s="22"/>
    </row>
    <row r="174" spans="1:7" customFormat="1">
      <c r="A174" s="88"/>
      <c r="B174" s="87"/>
      <c r="C174" s="22"/>
      <c r="D174" s="22"/>
      <c r="E174" s="87"/>
      <c r="F174" s="22"/>
    </row>
    <row r="175" spans="1:7" customFormat="1">
      <c r="A175" s="88"/>
      <c r="B175" s="87"/>
      <c r="C175" s="22"/>
      <c r="D175" s="22"/>
      <c r="E175" s="87"/>
      <c r="F175" s="22"/>
    </row>
    <row r="176" spans="1:7" customFormat="1">
      <c r="A176" s="88"/>
      <c r="B176" s="87"/>
      <c r="C176" s="22"/>
      <c r="D176" s="22"/>
      <c r="E176" s="87"/>
      <c r="F176" s="22"/>
    </row>
    <row r="177" spans="1:6" customFormat="1">
      <c r="A177" s="88"/>
      <c r="B177" s="87"/>
      <c r="C177" s="22"/>
      <c r="D177" s="22"/>
      <c r="E177" s="87"/>
      <c r="F177" s="22"/>
    </row>
    <row r="178" spans="1:6" customFormat="1">
      <c r="A178" s="88"/>
      <c r="B178" s="87"/>
      <c r="C178" s="22"/>
      <c r="D178" s="22"/>
      <c r="E178" s="87"/>
      <c r="F178" s="22"/>
    </row>
    <row r="179" spans="1:6" customFormat="1">
      <c r="A179" s="88"/>
      <c r="B179" s="87"/>
      <c r="C179" s="22"/>
      <c r="D179" s="22"/>
      <c r="E179" s="87"/>
      <c r="F179" s="22"/>
    </row>
    <row r="180" spans="1:6" customFormat="1">
      <c r="A180" s="88"/>
      <c r="B180" s="87"/>
      <c r="C180" s="22"/>
      <c r="D180" s="22"/>
      <c r="E180" s="87"/>
      <c r="F180" s="22"/>
    </row>
    <row r="181" spans="1:6" customFormat="1">
      <c r="A181" s="88"/>
      <c r="B181" s="87"/>
      <c r="C181" s="22"/>
      <c r="D181" s="22"/>
      <c r="E181" s="87"/>
      <c r="F181" s="22"/>
    </row>
    <row r="182" spans="1:6" customFormat="1">
      <c r="A182" s="88"/>
      <c r="B182" s="87"/>
      <c r="C182" s="22"/>
      <c r="D182" s="22"/>
      <c r="E182" s="87"/>
      <c r="F182" s="22"/>
    </row>
    <row r="183" spans="1:6" customFormat="1">
      <c r="A183" s="88"/>
      <c r="B183" s="87"/>
      <c r="C183" s="22"/>
      <c r="D183" s="22"/>
      <c r="E183" s="87"/>
      <c r="F183" s="22"/>
    </row>
    <row r="184" spans="1:6" customFormat="1">
      <c r="A184" s="88"/>
      <c r="B184" s="87"/>
      <c r="C184" s="22"/>
      <c r="D184" s="22"/>
      <c r="E184" s="87"/>
      <c r="F184" s="22"/>
    </row>
    <row r="185" spans="1:6" customFormat="1">
      <c r="A185" s="88"/>
      <c r="B185" s="87"/>
      <c r="C185" s="22"/>
      <c r="D185" s="22"/>
      <c r="E185" s="87"/>
      <c r="F185" s="22"/>
    </row>
    <row r="186" spans="1:6" customFormat="1">
      <c r="A186" s="88"/>
      <c r="B186" s="87"/>
      <c r="C186" s="22"/>
      <c r="D186" s="22"/>
      <c r="E186" s="87"/>
      <c r="F186" s="22"/>
    </row>
    <row r="187" spans="1:6" customFormat="1">
      <c r="A187" s="88"/>
      <c r="B187" s="87"/>
      <c r="C187" s="22"/>
      <c r="D187" s="22"/>
      <c r="E187" s="87"/>
      <c r="F187" s="22"/>
    </row>
    <row r="188" spans="1:6" customFormat="1">
      <c r="A188" s="88"/>
      <c r="B188" s="87"/>
      <c r="C188" s="22"/>
      <c r="D188" s="22"/>
      <c r="E188" s="87"/>
      <c r="F188" s="22"/>
    </row>
    <row r="189" spans="1:6" customFormat="1">
      <c r="A189" s="88"/>
      <c r="B189" s="87"/>
      <c r="C189" s="22"/>
      <c r="D189" s="22"/>
      <c r="E189" s="87"/>
      <c r="F189" s="22"/>
    </row>
    <row r="190" spans="1:6" customFormat="1">
      <c r="A190" s="88"/>
      <c r="B190" s="87"/>
      <c r="C190" s="22"/>
      <c r="D190" s="22"/>
      <c r="E190" s="87"/>
      <c r="F190" s="22"/>
    </row>
    <row r="191" spans="1:6" customFormat="1">
      <c r="A191" s="88"/>
      <c r="B191" s="87"/>
      <c r="C191" s="22"/>
      <c r="D191" s="22"/>
      <c r="E191" s="87"/>
      <c r="F191" s="22"/>
    </row>
    <row r="192" spans="1:6" customFormat="1">
      <c r="A192" s="88"/>
      <c r="B192" s="87"/>
      <c r="C192" s="22"/>
      <c r="D192" s="22"/>
      <c r="E192" s="87"/>
      <c r="F192" s="22"/>
    </row>
    <row r="193" spans="1:6" customFormat="1">
      <c r="A193" s="88"/>
      <c r="B193" s="87"/>
      <c r="C193" s="22"/>
      <c r="D193" s="22"/>
      <c r="E193" s="87"/>
      <c r="F193" s="22"/>
    </row>
    <row r="194" spans="1:6" customFormat="1">
      <c r="A194" s="88"/>
      <c r="B194" s="87"/>
      <c r="C194" s="22"/>
      <c r="D194" s="22"/>
      <c r="E194" s="87"/>
      <c r="F194" s="22"/>
    </row>
    <row r="195" spans="1:6" customFormat="1">
      <c r="A195" s="88"/>
      <c r="B195" s="87"/>
      <c r="C195" s="22"/>
      <c r="D195" s="22"/>
      <c r="E195" s="87"/>
      <c r="F195" s="22"/>
    </row>
    <row r="196" spans="1:6" customFormat="1">
      <c r="A196" s="88"/>
      <c r="B196" s="87"/>
      <c r="C196" s="22"/>
      <c r="D196" s="22"/>
      <c r="E196" s="87"/>
      <c r="F196" s="22"/>
    </row>
    <row r="197" spans="1:6" customFormat="1">
      <c r="A197" s="88"/>
      <c r="B197" s="87"/>
      <c r="C197" s="22"/>
      <c r="D197" s="22"/>
      <c r="E197" s="87"/>
      <c r="F197" s="22"/>
    </row>
    <row r="198" spans="1:6" customFormat="1">
      <c r="A198" s="88"/>
      <c r="B198" s="87"/>
      <c r="C198" s="22"/>
      <c r="D198" s="22"/>
      <c r="E198" s="87"/>
      <c r="F198" s="22"/>
    </row>
    <row r="199" spans="1:6" customFormat="1">
      <c r="A199" s="88"/>
      <c r="B199" s="87"/>
      <c r="C199" s="22"/>
      <c r="D199" s="22"/>
      <c r="E199" s="87"/>
      <c r="F199" s="22"/>
    </row>
    <row r="200" spans="1:6" customFormat="1">
      <c r="A200" s="88"/>
      <c r="B200" s="87"/>
      <c r="C200" s="22"/>
      <c r="D200" s="22"/>
      <c r="E200" s="87"/>
      <c r="F200" s="22"/>
    </row>
    <row r="201" spans="1:6" customFormat="1">
      <c r="A201" s="88"/>
      <c r="B201" s="87"/>
      <c r="C201" s="22"/>
      <c r="D201" s="22"/>
      <c r="E201" s="87"/>
      <c r="F201" s="22"/>
    </row>
    <row r="202" spans="1:6" customFormat="1">
      <c r="A202" s="88"/>
      <c r="B202" s="87"/>
      <c r="C202" s="22"/>
      <c r="D202" s="22"/>
      <c r="E202" s="87"/>
      <c r="F202" s="22"/>
    </row>
    <row r="203" spans="1:6" customFormat="1">
      <c r="A203" s="88"/>
      <c r="B203" s="87"/>
      <c r="C203" s="22"/>
      <c r="D203" s="22"/>
      <c r="E203" s="87"/>
      <c r="F203" s="22"/>
    </row>
    <row r="204" spans="1:6" customFormat="1">
      <c r="A204" s="88"/>
      <c r="B204" s="87"/>
      <c r="C204" s="22"/>
      <c r="D204" s="22"/>
      <c r="E204" s="87"/>
      <c r="F204" s="22"/>
    </row>
    <row r="205" spans="1:6" customFormat="1">
      <c r="A205" s="88"/>
      <c r="B205" s="87"/>
      <c r="C205" s="22"/>
      <c r="D205" s="22"/>
      <c r="E205" s="87"/>
      <c r="F205" s="22"/>
    </row>
    <row r="206" spans="1:6" customFormat="1">
      <c r="A206" s="88"/>
      <c r="B206" s="87"/>
      <c r="C206" s="22"/>
      <c r="D206" s="22"/>
      <c r="E206" s="87"/>
      <c r="F206" s="22"/>
    </row>
    <row r="207" spans="1:6" customFormat="1">
      <c r="A207" s="88"/>
      <c r="B207" s="87"/>
      <c r="C207" s="22"/>
      <c r="D207" s="22"/>
      <c r="E207" s="87"/>
      <c r="F207" s="22"/>
    </row>
    <row r="208" spans="1:6" customFormat="1">
      <c r="A208" s="88"/>
      <c r="B208" s="87"/>
      <c r="C208" s="22"/>
      <c r="D208" s="22"/>
      <c r="E208" s="87"/>
      <c r="F208" s="22"/>
    </row>
    <row r="209" spans="1:6" customFormat="1">
      <c r="A209" s="88"/>
      <c r="B209" s="87"/>
      <c r="C209" s="22"/>
      <c r="D209" s="22"/>
      <c r="E209" s="87"/>
      <c r="F209" s="22"/>
    </row>
    <row r="210" spans="1:6" customFormat="1">
      <c r="A210" s="88"/>
      <c r="B210" s="87"/>
      <c r="C210" s="22"/>
      <c r="D210" s="22"/>
      <c r="E210" s="87"/>
      <c r="F210" s="22"/>
    </row>
    <row r="211" spans="1:6" customFormat="1">
      <c r="A211" s="88"/>
      <c r="B211" s="87"/>
      <c r="C211" s="22"/>
      <c r="D211" s="22"/>
      <c r="E211" s="87"/>
      <c r="F211" s="22"/>
    </row>
    <row r="212" spans="1:6" customFormat="1">
      <c r="A212" s="88"/>
      <c r="B212" s="87"/>
      <c r="C212" s="22"/>
      <c r="D212" s="22"/>
      <c r="E212" s="87"/>
      <c r="F212" s="22"/>
    </row>
    <row r="213" spans="1:6" customFormat="1">
      <c r="A213" s="88"/>
      <c r="B213" s="87"/>
      <c r="C213" s="22"/>
      <c r="D213" s="22"/>
      <c r="E213" s="87"/>
      <c r="F213" s="22"/>
    </row>
    <row r="214" spans="1:6" customFormat="1">
      <c r="A214" s="88"/>
      <c r="B214" s="87"/>
      <c r="C214" s="22"/>
      <c r="D214" s="22"/>
      <c r="E214" s="87"/>
      <c r="F214" s="22"/>
    </row>
    <row r="215" spans="1:6" customFormat="1">
      <c r="A215" s="88"/>
      <c r="B215" s="87"/>
      <c r="C215" s="22"/>
      <c r="D215" s="22"/>
      <c r="E215" s="87"/>
      <c r="F215" s="22"/>
    </row>
    <row r="216" spans="1:6" customFormat="1">
      <c r="A216" s="88"/>
      <c r="B216" s="87"/>
      <c r="C216" s="22"/>
      <c r="D216" s="22"/>
      <c r="E216" s="87"/>
      <c r="F216" s="22"/>
    </row>
    <row r="217" spans="1:6" customFormat="1">
      <c r="A217" s="88"/>
      <c r="B217" s="87"/>
      <c r="C217" s="22"/>
      <c r="D217" s="22"/>
      <c r="E217" s="87"/>
      <c r="F217" s="22"/>
    </row>
    <row r="218" spans="1:6" customFormat="1">
      <c r="A218" s="88"/>
      <c r="B218" s="87"/>
      <c r="C218" s="22"/>
      <c r="D218" s="22"/>
      <c r="E218" s="87"/>
      <c r="F218" s="22"/>
    </row>
    <row r="219" spans="1:6" customFormat="1">
      <c r="A219" s="88"/>
      <c r="B219" s="87"/>
      <c r="C219" s="22"/>
      <c r="D219" s="22"/>
      <c r="E219" s="87"/>
      <c r="F219" s="22"/>
    </row>
    <row r="220" spans="1:6" customFormat="1">
      <c r="A220" s="88"/>
      <c r="B220" s="87"/>
      <c r="C220" s="22"/>
      <c r="D220" s="22"/>
      <c r="E220" s="87"/>
      <c r="F220" s="22"/>
    </row>
    <row r="221" spans="1:6" customFormat="1">
      <c r="A221" s="88"/>
      <c r="B221" s="87"/>
      <c r="C221" s="22"/>
      <c r="D221" s="22"/>
      <c r="E221" s="87"/>
      <c r="F221" s="22"/>
    </row>
    <row r="222" spans="1:6" customFormat="1">
      <c r="A222" s="88"/>
      <c r="B222" s="87"/>
      <c r="C222" s="22"/>
      <c r="D222" s="22"/>
      <c r="E222" s="87"/>
      <c r="F222" s="22"/>
    </row>
    <row r="223" spans="1:6" customFormat="1">
      <c r="A223" s="88"/>
      <c r="B223" s="87"/>
      <c r="C223" s="22"/>
      <c r="D223" s="22"/>
      <c r="E223" s="87"/>
      <c r="F223" s="22"/>
    </row>
    <row r="224" spans="1:6" customFormat="1">
      <c r="A224" s="88"/>
      <c r="B224" s="87"/>
      <c r="C224" s="22"/>
      <c r="D224" s="22"/>
      <c r="E224" s="87"/>
      <c r="F224" s="22"/>
    </row>
    <row r="225" spans="1:6" customFormat="1">
      <c r="A225" s="88"/>
      <c r="B225" s="87"/>
      <c r="C225" s="22"/>
      <c r="D225" s="22"/>
      <c r="E225" s="87"/>
      <c r="F225" s="22"/>
    </row>
    <row r="226" spans="1:6" customFormat="1">
      <c r="A226" s="88"/>
      <c r="B226" s="87"/>
      <c r="C226" s="22"/>
      <c r="D226" s="22"/>
      <c r="E226" s="87"/>
      <c r="F226" s="22"/>
    </row>
    <row r="227" spans="1:6" customFormat="1">
      <c r="A227" s="88"/>
      <c r="B227" s="87"/>
      <c r="C227" s="22"/>
      <c r="D227" s="22"/>
      <c r="E227" s="87"/>
      <c r="F227" s="22"/>
    </row>
    <row r="228" spans="1:6" customFormat="1">
      <c r="A228" s="88"/>
      <c r="B228" s="87"/>
      <c r="C228" s="22"/>
      <c r="D228" s="22"/>
      <c r="E228" s="87"/>
      <c r="F228" s="22"/>
    </row>
    <row r="229" spans="1:6" customFormat="1">
      <c r="A229" s="88"/>
      <c r="B229" s="87"/>
      <c r="C229" s="22"/>
      <c r="D229" s="22"/>
      <c r="E229" s="87"/>
      <c r="F229" s="22"/>
    </row>
    <row r="230" spans="1:6" customFormat="1">
      <c r="A230" s="88"/>
      <c r="B230" s="87"/>
      <c r="C230" s="22"/>
      <c r="D230" s="22"/>
      <c r="E230" s="87"/>
      <c r="F230" s="22"/>
    </row>
    <row r="231" spans="1:6" customFormat="1">
      <c r="A231" s="88"/>
      <c r="B231" s="87"/>
      <c r="C231" s="22"/>
      <c r="D231" s="22"/>
      <c r="E231" s="87"/>
      <c r="F231" s="22"/>
    </row>
    <row r="232" spans="1:6" customFormat="1">
      <c r="A232" s="88"/>
      <c r="B232" s="87"/>
      <c r="C232" s="22"/>
      <c r="D232" s="22"/>
      <c r="E232" s="87"/>
      <c r="F232" s="22"/>
    </row>
    <row r="233" spans="1:6" customFormat="1">
      <c r="A233" s="88"/>
      <c r="B233" s="87"/>
      <c r="C233" s="22"/>
      <c r="D233" s="22"/>
      <c r="E233" s="87"/>
      <c r="F233" s="22"/>
    </row>
    <row r="234" spans="1:6" customFormat="1">
      <c r="A234" s="88"/>
      <c r="B234" s="87"/>
      <c r="C234" s="22"/>
      <c r="D234" s="22"/>
      <c r="E234" s="87"/>
      <c r="F234" s="22"/>
    </row>
    <row r="235" spans="1:6" customFormat="1">
      <c r="A235" s="88"/>
      <c r="B235" s="87"/>
      <c r="C235" s="22"/>
      <c r="D235" s="22"/>
      <c r="E235" s="87"/>
      <c r="F235" s="22"/>
    </row>
    <row r="236" spans="1:6" customFormat="1">
      <c r="A236" s="88"/>
      <c r="B236" s="87"/>
      <c r="C236" s="22"/>
      <c r="D236" s="22"/>
      <c r="E236" s="87"/>
      <c r="F236" s="22"/>
    </row>
    <row r="237" spans="1:6" customFormat="1">
      <c r="A237" s="88"/>
      <c r="B237" s="87"/>
      <c r="C237" s="22"/>
      <c r="D237" s="22"/>
      <c r="E237" s="87"/>
      <c r="F237" s="22"/>
    </row>
    <row r="238" spans="1:6" customFormat="1">
      <c r="A238" s="88"/>
      <c r="B238" s="87"/>
      <c r="C238" s="22"/>
      <c r="D238" s="22"/>
      <c r="E238" s="87"/>
      <c r="F238" s="22"/>
    </row>
    <row r="239" spans="1:6" customFormat="1">
      <c r="A239" s="88"/>
      <c r="B239" s="87"/>
      <c r="C239" s="22"/>
      <c r="D239" s="22"/>
      <c r="E239" s="87"/>
      <c r="F239" s="22"/>
    </row>
    <row r="240" spans="1:6" customFormat="1">
      <c r="A240" s="88"/>
      <c r="B240" s="87"/>
      <c r="C240" s="22"/>
      <c r="D240" s="22"/>
      <c r="E240" s="87"/>
      <c r="F240" s="22"/>
    </row>
    <row r="241" spans="1:7" customFormat="1">
      <c r="A241" s="88"/>
      <c r="B241" s="87"/>
      <c r="C241" s="22"/>
      <c r="D241" s="22"/>
      <c r="E241" s="87"/>
      <c r="F241" s="22"/>
    </row>
    <row r="242" spans="1:7" customFormat="1">
      <c r="A242" s="88"/>
      <c r="B242" s="87"/>
      <c r="C242" s="22"/>
      <c r="D242" s="22"/>
      <c r="E242" s="87"/>
      <c r="F242" s="22"/>
    </row>
    <row r="243" spans="1:7" customFormat="1">
      <c r="A243" s="88"/>
      <c r="B243" s="87"/>
      <c r="C243" s="22"/>
      <c r="D243" s="22"/>
      <c r="E243" s="87"/>
      <c r="F243" s="22"/>
    </row>
    <row r="244" spans="1:7" customFormat="1">
      <c r="A244" s="88"/>
      <c r="B244" s="87"/>
      <c r="C244" s="22"/>
      <c r="D244" s="22"/>
      <c r="E244" s="87"/>
      <c r="F244" s="22"/>
    </row>
    <row r="245" spans="1:7" customFormat="1">
      <c r="A245" s="88"/>
      <c r="B245" s="87"/>
      <c r="C245" s="22"/>
      <c r="D245" s="22"/>
      <c r="E245" s="87"/>
      <c r="F245" s="22"/>
    </row>
    <row r="246" spans="1:7" customFormat="1">
      <c r="A246" s="88"/>
      <c r="B246" s="87"/>
      <c r="C246" s="22"/>
      <c r="D246" s="22"/>
      <c r="E246" s="87"/>
      <c r="F246" s="22"/>
    </row>
    <row r="247" spans="1:7" customFormat="1">
      <c r="A247" s="88"/>
      <c r="B247" s="87"/>
      <c r="C247" s="22"/>
      <c r="D247" s="22"/>
      <c r="E247" s="87"/>
      <c r="F247" s="22"/>
    </row>
    <row r="248" spans="1:7" customFormat="1">
      <c r="A248" s="88"/>
      <c r="B248" s="87"/>
      <c r="C248" s="22"/>
      <c r="D248" s="22"/>
      <c r="E248" s="87"/>
      <c r="F248" s="22"/>
    </row>
    <row r="249" spans="1:7" customFormat="1">
      <c r="A249" s="88"/>
      <c r="B249" s="87"/>
      <c r="C249" s="22"/>
      <c r="D249" s="22"/>
      <c r="E249" s="87"/>
      <c r="F249" s="22"/>
      <c r="G249" s="120"/>
    </row>
    <row r="250" spans="1:7" customFormat="1">
      <c r="A250" s="88"/>
      <c r="B250" s="87"/>
      <c r="C250" s="22"/>
      <c r="D250" s="22"/>
      <c r="E250" s="87"/>
      <c r="F250" s="22"/>
    </row>
    <row r="251" spans="1:7" customFormat="1">
      <c r="A251" s="88"/>
      <c r="B251" s="87"/>
      <c r="C251" s="22"/>
      <c r="D251" s="22"/>
      <c r="E251" s="87"/>
      <c r="F251" s="22"/>
    </row>
    <row r="252" spans="1:7" customFormat="1">
      <c r="A252" s="88"/>
      <c r="B252" s="87"/>
      <c r="C252" s="22"/>
      <c r="D252" s="22"/>
      <c r="E252" s="87"/>
      <c r="F252" s="22"/>
    </row>
    <row r="253" spans="1:7" customFormat="1">
      <c r="A253" s="88"/>
      <c r="B253" s="87"/>
      <c r="C253" s="22"/>
      <c r="D253" s="22"/>
      <c r="E253" s="87"/>
      <c r="F253" s="22"/>
    </row>
    <row r="254" spans="1:7" customFormat="1">
      <c r="A254" s="88"/>
      <c r="B254" s="87"/>
      <c r="C254" s="22"/>
      <c r="D254" s="22"/>
      <c r="E254" s="87"/>
      <c r="F254" s="22"/>
    </row>
    <row r="255" spans="1:7" customFormat="1">
      <c r="A255" s="88"/>
      <c r="B255" s="87"/>
      <c r="C255" s="22"/>
      <c r="D255" s="22"/>
      <c r="E255" s="87"/>
      <c r="F255" s="22"/>
    </row>
    <row r="256" spans="1:7" customFormat="1">
      <c r="A256" s="88"/>
      <c r="B256" s="87"/>
      <c r="C256" s="22"/>
      <c r="D256" s="22"/>
      <c r="E256" s="87"/>
      <c r="F256" s="22"/>
    </row>
    <row r="257" spans="1:6" customFormat="1">
      <c r="A257" s="88"/>
      <c r="B257" s="87"/>
      <c r="C257" s="22"/>
      <c r="D257" s="22"/>
      <c r="E257" s="87"/>
      <c r="F257" s="22"/>
    </row>
    <row r="258" spans="1:6">
      <c r="E258" s="87"/>
      <c r="F258" s="22"/>
    </row>
    <row r="259" spans="1:6">
      <c r="E259" s="87"/>
      <c r="F259" s="22"/>
    </row>
    <row r="260" spans="1:6">
      <c r="E260" s="87"/>
      <c r="F260" s="22"/>
    </row>
    <row r="261" spans="1:6">
      <c r="E261" s="87"/>
      <c r="F261" s="22"/>
    </row>
    <row r="262" spans="1:6">
      <c r="E262" s="87"/>
      <c r="F262" s="22"/>
    </row>
    <row r="263" spans="1:6">
      <c r="E263" s="87"/>
      <c r="F263" s="22"/>
    </row>
    <row r="264" spans="1:6">
      <c r="E264" s="87"/>
      <c r="F264" s="22"/>
    </row>
    <row r="265" spans="1:6">
      <c r="E265" s="87"/>
      <c r="F265" s="22"/>
    </row>
    <row r="266" spans="1:6">
      <c r="E266" s="87"/>
      <c r="F266" s="22"/>
    </row>
    <row r="267" spans="1:6">
      <c r="E267" s="87"/>
      <c r="F267" s="22"/>
    </row>
    <row r="268" spans="1:6">
      <c r="E268" s="87"/>
      <c r="F268" s="22"/>
    </row>
    <row r="269" spans="1:6">
      <c r="E269" s="87"/>
      <c r="F269" s="22"/>
    </row>
    <row r="270" spans="1:6">
      <c r="E270" s="87"/>
      <c r="F270" s="22"/>
    </row>
    <row r="271" spans="1:6">
      <c r="E271" s="87"/>
      <c r="F271" s="22"/>
    </row>
    <row r="272" spans="1:6">
      <c r="E272" s="87"/>
      <c r="F272" s="22"/>
    </row>
    <row r="273" spans="5:6">
      <c r="E273" s="87"/>
      <c r="F273" s="22"/>
    </row>
    <row r="274" spans="5:6">
      <c r="E274" s="87"/>
      <c r="F274" s="22"/>
    </row>
    <row r="275" spans="5:6">
      <c r="E275" s="87"/>
      <c r="F275" s="22"/>
    </row>
    <row r="276" spans="5:6">
      <c r="E276" s="87"/>
      <c r="F276" s="22"/>
    </row>
    <row r="277" spans="5:6">
      <c r="E277" s="87"/>
      <c r="F277" s="22"/>
    </row>
    <row r="278" spans="5:6">
      <c r="E278" s="87"/>
      <c r="F278" s="22"/>
    </row>
    <row r="279" spans="5:6">
      <c r="E279" s="87"/>
      <c r="F279" s="22"/>
    </row>
    <row r="280" spans="5:6">
      <c r="E280" s="87"/>
      <c r="F280" s="22"/>
    </row>
    <row r="281" spans="5:6">
      <c r="E281" s="87"/>
      <c r="F281" s="22"/>
    </row>
    <row r="282" spans="5:6">
      <c r="E282" s="87"/>
      <c r="F282" s="22"/>
    </row>
    <row r="283" spans="5:6">
      <c r="E283" s="87"/>
      <c r="F283" s="22"/>
    </row>
    <row r="284" spans="5:6">
      <c r="E284" s="87"/>
      <c r="F284" s="22"/>
    </row>
    <row r="285" spans="5:6">
      <c r="E285" s="87"/>
      <c r="F285" s="22"/>
    </row>
    <row r="286" spans="5:6">
      <c r="E286" s="87"/>
      <c r="F286" s="22"/>
    </row>
    <row r="287" spans="5:6">
      <c r="E287" s="87"/>
      <c r="F287" s="22"/>
    </row>
    <row r="288" spans="5:6">
      <c r="E288" s="87"/>
      <c r="F288" s="22"/>
    </row>
    <row r="289" spans="5:6">
      <c r="E289" s="87"/>
      <c r="F289" s="22"/>
    </row>
    <row r="290" spans="5:6">
      <c r="E290" s="87"/>
      <c r="F290" s="22"/>
    </row>
    <row r="291" spans="5:6">
      <c r="E291" s="87"/>
      <c r="F291" s="22"/>
    </row>
    <row r="292" spans="5:6">
      <c r="E292" s="87"/>
      <c r="F292" s="22"/>
    </row>
    <row r="293" spans="5:6">
      <c r="E293" s="87"/>
      <c r="F293" s="22"/>
    </row>
    <row r="294" spans="5:6">
      <c r="E294" s="87"/>
      <c r="F294" s="22"/>
    </row>
    <row r="295" spans="5:6">
      <c r="E295" s="87"/>
      <c r="F295" s="22"/>
    </row>
    <row r="296" spans="5:6">
      <c r="E296" s="87"/>
      <c r="F296" s="22"/>
    </row>
    <row r="297" spans="5:6">
      <c r="E297" s="87"/>
      <c r="F297" s="22"/>
    </row>
    <row r="298" spans="5:6">
      <c r="E298" s="87"/>
      <c r="F298" s="22"/>
    </row>
    <row r="299" spans="5:6">
      <c r="E299" s="87"/>
      <c r="F299" s="22"/>
    </row>
    <row r="300" spans="5:6">
      <c r="E300" s="87"/>
      <c r="F300" s="22"/>
    </row>
    <row r="301" spans="5:6">
      <c r="E301" s="87"/>
      <c r="F301" s="22"/>
    </row>
    <row r="302" spans="5:6">
      <c r="E302" s="87"/>
      <c r="F302" s="22"/>
    </row>
    <row r="303" spans="5:6">
      <c r="E303" s="87"/>
      <c r="F303" s="22"/>
    </row>
    <row r="304" spans="5:6">
      <c r="E304" s="87"/>
      <c r="F304" s="22"/>
    </row>
    <row r="305" spans="5:6">
      <c r="E305" s="87"/>
      <c r="F305" s="22"/>
    </row>
    <row r="306" spans="5:6">
      <c r="E306" s="87"/>
      <c r="F306" s="22"/>
    </row>
    <row r="307" spans="5:6">
      <c r="E307" s="87"/>
      <c r="F307" s="22"/>
    </row>
    <row r="308" spans="5:6">
      <c r="E308" s="87"/>
      <c r="F308" s="22"/>
    </row>
    <row r="309" spans="5:6">
      <c r="E309" s="87"/>
      <c r="F309" s="22"/>
    </row>
    <row r="310" spans="5:6">
      <c r="E310" s="87"/>
      <c r="F310" s="22"/>
    </row>
    <row r="311" spans="5:6">
      <c r="E311" s="87"/>
      <c r="F311" s="22"/>
    </row>
    <row r="312" spans="5:6">
      <c r="E312" s="87"/>
      <c r="F312" s="22"/>
    </row>
    <row r="313" spans="5:6">
      <c r="E313" s="87"/>
      <c r="F313" s="22"/>
    </row>
    <row r="314" spans="5:6">
      <c r="E314" s="87"/>
      <c r="F314" s="22"/>
    </row>
    <row r="315" spans="5:6">
      <c r="E315" s="87"/>
      <c r="F315" s="22"/>
    </row>
    <row r="316" spans="5:6">
      <c r="E316" s="87"/>
      <c r="F316" s="22"/>
    </row>
    <row r="317" spans="5:6">
      <c r="E317" s="87"/>
      <c r="F317" s="22"/>
    </row>
    <row r="318" spans="5:6">
      <c r="E318" s="87"/>
      <c r="F318" s="22"/>
    </row>
    <row r="319" spans="5:6">
      <c r="E319" s="87"/>
      <c r="F319" s="22"/>
    </row>
    <row r="320" spans="5:6">
      <c r="E320" s="87"/>
      <c r="F320" s="22"/>
    </row>
    <row r="321" spans="5:6">
      <c r="E321" s="87"/>
      <c r="F321" s="22"/>
    </row>
    <row r="322" spans="5:6">
      <c r="E322" s="87"/>
      <c r="F322" s="22"/>
    </row>
    <row r="323" spans="5:6">
      <c r="E323" s="87"/>
      <c r="F323" s="22"/>
    </row>
    <row r="324" spans="5:6">
      <c r="E324" s="87"/>
      <c r="F324" s="22"/>
    </row>
    <row r="325" spans="5:6">
      <c r="E325" s="87"/>
      <c r="F325" s="22"/>
    </row>
    <row r="326" spans="5:6">
      <c r="E326" s="87"/>
      <c r="F326" s="22"/>
    </row>
    <row r="327" spans="5:6">
      <c r="E327" s="87"/>
      <c r="F327" s="22"/>
    </row>
    <row r="328" spans="5:6">
      <c r="E328" s="87"/>
      <c r="F328" s="22"/>
    </row>
  </sheetData>
  <autoFilter ref="A8:F78" xr:uid="{7B0009F7-4792-4D14-9E7B-47790FE66902}">
    <filterColumn colId="4">
      <filters>
        <filter val="株式会社リクルート"/>
        <filter val="株式会社リクルート　福坂さん紹介料"/>
        <filter val="株式会社リクルートマネジメントソリューションズ"/>
      </filters>
    </filterColumn>
  </autoFilter>
  <mergeCells count="1">
    <mergeCell ref="A1:B1"/>
  </mergeCells>
  <phoneticPr fontId="1"/>
  <dataValidations count="2">
    <dataValidation type="list" allowBlank="1" showInputMessage="1" showErrorMessage="1" sqref="B9:B119" xr:uid="{452C212D-5862-4B35-8F0B-4F415D9EA78E}">
      <formula1>区分</formula1>
    </dataValidation>
    <dataValidation type="list" allowBlank="1" showInputMessage="1" showErrorMessage="1" sqref="D9:D119" xr:uid="{C5495741-68B0-4713-8117-A1882E14F9F9}">
      <formula1>INDIRECT(B9)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mmandButton1_Click">
                <anchor moveWithCells="1" sizeWithCells="1">
                  <from>
                    <xdr:col>4</xdr:col>
                    <xdr:colOff>1592580</xdr:colOff>
                    <xdr:row>3</xdr:row>
                    <xdr:rowOff>175260</xdr:rowOff>
                  </from>
                  <to>
                    <xdr:col>4</xdr:col>
                    <xdr:colOff>2865120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import_data">
                <anchor moveWithCells="1" sizeWithCells="1">
                  <from>
                    <xdr:col>4</xdr:col>
                    <xdr:colOff>5775960</xdr:colOff>
                    <xdr:row>4</xdr:row>
                    <xdr:rowOff>7620</xdr:rowOff>
                  </from>
                  <to>
                    <xdr:col>4</xdr:col>
                    <xdr:colOff>7002780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penButton">
                <anchor moveWithCells="1" sizeWithCells="1">
                  <from>
                    <xdr:col>4</xdr:col>
                    <xdr:colOff>2964180</xdr:colOff>
                    <xdr:row>4</xdr:row>
                    <xdr:rowOff>0</xdr:rowOff>
                  </from>
                  <to>
                    <xdr:col>4</xdr:col>
                    <xdr:colOff>4229100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 12">
              <controlPr defaultSize="0" print="0" autoFill="0" autoPict="0" macro="[0]!import2">
                <anchor moveWithCells="1" sizeWithCells="1">
                  <from>
                    <xdr:col>4</xdr:col>
                    <xdr:colOff>7216140</xdr:colOff>
                    <xdr:row>3</xdr:row>
                    <xdr:rowOff>190500</xdr:rowOff>
                  </from>
                  <to>
                    <xdr:col>4</xdr:col>
                    <xdr:colOff>8389620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3F4F8-C5FE-48D3-A014-136B7B4BFB59}">
  <sheetPr codeName="Sheet4"/>
  <dimension ref="C11:D14"/>
  <sheetViews>
    <sheetView workbookViewId="0">
      <selection activeCell="F34" sqref="F34"/>
    </sheetView>
  </sheetViews>
  <sheetFormatPr defaultRowHeight="13.2"/>
  <cols>
    <col min="1" max="1" width="4" customWidth="1"/>
    <col min="2" max="2" width="6.44140625" customWidth="1"/>
    <col min="3" max="3" width="11.109375" bestFit="1" customWidth="1"/>
    <col min="4" max="4" width="10.21875" bestFit="1" customWidth="1"/>
  </cols>
  <sheetData>
    <row r="11" spans="3:4">
      <c r="C11" s="1"/>
      <c r="D11" s="1" t="s">
        <v>24</v>
      </c>
    </row>
    <row r="12" spans="3:4">
      <c r="C12" s="1" t="s">
        <v>15</v>
      </c>
      <c r="D12" s="14" t="e">
        <f>採用費管理表!#REF!</f>
        <v>#REF!</v>
      </c>
    </row>
    <row r="13" spans="3:4">
      <c r="C13" s="1" t="s">
        <v>18</v>
      </c>
      <c r="D13" s="14">
        <f>採用費管理表!P87</f>
        <v>53062474</v>
      </c>
    </row>
    <row r="14" spans="3:4">
      <c r="C14" s="1" t="s">
        <v>32</v>
      </c>
      <c r="D14" s="14">
        <f>採用費管理表!P86</f>
        <v>123062446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B8A3-0AC6-4B35-9BDA-8B42A631401A}">
  <sheetPr codeName="Sheet5"/>
  <dimension ref="A1:B31"/>
  <sheetViews>
    <sheetView workbookViewId="0">
      <selection activeCell="B19" sqref="B19"/>
    </sheetView>
  </sheetViews>
  <sheetFormatPr defaultRowHeight="13.2"/>
  <cols>
    <col min="1" max="1" width="11.77734375" customWidth="1"/>
    <col min="2" max="2" width="15.33203125" bestFit="1" customWidth="1"/>
  </cols>
  <sheetData>
    <row r="1" spans="1:2" ht="25.8">
      <c r="A1" s="63" t="s">
        <v>63</v>
      </c>
    </row>
    <row r="3" spans="1:2">
      <c r="A3" s="57" t="s">
        <v>85</v>
      </c>
      <c r="B3" s="57" t="s">
        <v>81</v>
      </c>
    </row>
    <row r="5" spans="1:2">
      <c r="A5" s="58" t="s">
        <v>43</v>
      </c>
      <c r="B5" s="58" t="s">
        <v>52</v>
      </c>
    </row>
    <row r="6" spans="1:2">
      <c r="A6" s="59" t="s">
        <v>44</v>
      </c>
      <c r="B6" s="58" t="s">
        <v>53</v>
      </c>
    </row>
    <row r="7" spans="1:2">
      <c r="A7" s="60" t="s">
        <v>45</v>
      </c>
      <c r="B7" s="58" t="s">
        <v>50</v>
      </c>
    </row>
    <row r="8" spans="1:2">
      <c r="A8" s="61" t="s">
        <v>47</v>
      </c>
      <c r="B8" s="58" t="s">
        <v>49</v>
      </c>
    </row>
    <row r="9" spans="1:2">
      <c r="A9" s="90" t="s">
        <v>48</v>
      </c>
      <c r="B9" s="58" t="s">
        <v>54</v>
      </c>
    </row>
    <row r="10" spans="1:2">
      <c r="A10" s="62" t="s">
        <v>28</v>
      </c>
      <c r="B10" s="58" t="s">
        <v>56</v>
      </c>
    </row>
    <row r="11" spans="1:2">
      <c r="B11" s="58" t="s">
        <v>30</v>
      </c>
    </row>
    <row r="12" spans="1:2">
      <c r="B12" s="58" t="s">
        <v>58</v>
      </c>
    </row>
    <row r="13" spans="1:2">
      <c r="B13" s="59" t="s">
        <v>52</v>
      </c>
    </row>
    <row r="14" spans="1:2">
      <c r="B14" s="59" t="s">
        <v>58</v>
      </c>
    </row>
    <row r="15" spans="1:2">
      <c r="B15" s="59" t="s">
        <v>53</v>
      </c>
    </row>
    <row r="16" spans="1:2">
      <c r="B16" s="59" t="s">
        <v>56</v>
      </c>
    </row>
    <row r="17" spans="2:2">
      <c r="B17" s="59" t="s">
        <v>49</v>
      </c>
    </row>
    <row r="18" spans="2:2">
      <c r="B18" s="21" t="s">
        <v>52</v>
      </c>
    </row>
    <row r="19" spans="2:2">
      <c r="B19" s="21" t="s">
        <v>56</v>
      </c>
    </row>
    <row r="20" spans="2:2">
      <c r="B20" s="21" t="s">
        <v>59</v>
      </c>
    </row>
    <row r="21" spans="2:2">
      <c r="B21" s="61" t="s">
        <v>60</v>
      </c>
    </row>
    <row r="22" spans="2:2">
      <c r="B22" s="61" t="s">
        <v>49</v>
      </c>
    </row>
    <row r="23" spans="2:2">
      <c r="B23" s="61" t="s">
        <v>50</v>
      </c>
    </row>
    <row r="24" spans="2:2">
      <c r="B24" s="90" t="s">
        <v>51</v>
      </c>
    </row>
    <row r="25" spans="2:2">
      <c r="B25" s="90" t="s">
        <v>50</v>
      </c>
    </row>
    <row r="26" spans="2:2">
      <c r="B26" s="62" t="s">
        <v>61</v>
      </c>
    </row>
    <row r="27" spans="2:2">
      <c r="B27" s="62" t="s">
        <v>62</v>
      </c>
    </row>
    <row r="28" spans="2:2">
      <c r="B28" s="62" t="s">
        <v>22</v>
      </c>
    </row>
    <row r="29" spans="2:2">
      <c r="B29" s="62" t="s">
        <v>23</v>
      </c>
    </row>
    <row r="30" spans="2:2">
      <c r="B30" s="62" t="s">
        <v>20</v>
      </c>
    </row>
    <row r="31" spans="2:2">
      <c r="B31" s="62" t="s">
        <v>21</v>
      </c>
    </row>
  </sheetData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F1B3B0-65D8-493F-BF6B-A4FCF8624A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7</vt:i4>
      </vt:variant>
    </vt:vector>
  </HeadingPairs>
  <TitlesOfParts>
    <vt:vector size="12" baseType="lpstr">
      <vt:lpstr>採用費管理表</vt:lpstr>
      <vt:lpstr>72期活動費</vt:lpstr>
      <vt:lpstr>72期 元データ</vt:lpstr>
      <vt:lpstr>graph</vt:lpstr>
      <vt:lpstr>リスト※触らない※</vt:lpstr>
      <vt:lpstr>PT</vt:lpstr>
      <vt:lpstr>キャリア</vt:lpstr>
      <vt:lpstr>その他</vt:lpstr>
      <vt:lpstr>技能実習生</vt:lpstr>
      <vt:lpstr>区分</vt:lpstr>
      <vt:lpstr>新卒</vt:lpstr>
      <vt:lpstr>留学生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人材開発</dc:creator>
  <cp:lastModifiedBy>服部浩也</cp:lastModifiedBy>
  <cp:lastPrinted>2022-10-26T06:34:22Z</cp:lastPrinted>
  <dcterms:created xsi:type="dcterms:W3CDTF">2016-09-07T03:04:47Z</dcterms:created>
  <dcterms:modified xsi:type="dcterms:W3CDTF">2023-06-12T05:18:09Z</dcterms:modified>
</cp:coreProperties>
</file>